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INA_Provenance_Log" sheetId="1" state="visible" r:id="rId1"/>
    <sheet xmlns:r="http://schemas.openxmlformats.org/officeDocument/2006/relationships" name="Blinded_Evaluation_Sheet" sheetId="2" state="visible" r:id="rId2"/>
    <sheet xmlns:r="http://schemas.openxmlformats.org/officeDocument/2006/relationships" name="Master_Key_and_Analy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;0.0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05B5C"/>
      <sz val="14"/>
    </font>
    <font>
      <name val="Calibri"/>
      <b val="1"/>
      <sz val="11"/>
    </font>
    <font>
      <name val="Calibri"/>
      <b val="1"/>
      <color rgb="004B2C5E"/>
      <sz val="14"/>
    </font>
    <font>
      <name val="Calibri"/>
      <b val="1"/>
      <color rgb="001F497D"/>
      <sz val="12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005B5C"/>
        <bgColor rgb="00005B5C"/>
      </patternFill>
    </fill>
    <fill>
      <patternFill patternType="solid">
        <fgColor rgb="004B2C5E"/>
        <bgColor rgb="004B2C5E"/>
      </patternFill>
    </fill>
    <fill>
      <patternFill patternType="solid">
        <fgColor rgb="00DCE6F1"/>
        <bgColor rgb="00DCE6F1"/>
      </patternFill>
    </fill>
    <fill>
      <patternFill patternType="solid">
        <fgColor rgb="00EBF1F5"/>
        <bgColor rgb="00EBF1F5"/>
      </patternFill>
    </fill>
  </fills>
  <borders count="7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double">
        <color rgb="00000000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0" fontId="5" fillId="5" borderId="0" applyAlignment="1" pivotButton="0" quotePrefix="0" xfId="0">
      <alignment horizontal="right" vertical="center"/>
    </xf>
    <xf numFmtId="2" fontId="5" fillId="5" borderId="2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6" borderId="1" pivotButton="0" quotePrefix="0" xfId="0"/>
    <xf numFmtId="0" fontId="0" fillId="0" borderId="5" pivotButton="0" quotePrefix="0" xfId="0"/>
    <xf numFmtId="0" fontId="0" fillId="0" borderId="6" pivotButton="0" quotePrefix="0" xfId="0"/>
    <xf numFmtId="2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8" customWidth="1" min="3" max="3"/>
    <col width="24" customWidth="1" min="4" max="4"/>
    <col width="30" customWidth="1" min="5" max="5"/>
    <col width="31" customWidth="1" min="6" max="6"/>
    <col width="28" customWidth="1" min="7" max="7"/>
    <col width="28" customWidth="1" min="8" max="8"/>
    <col width="38" customWidth="1" min="9" max="9"/>
  </cols>
  <sheetData>
    <row r="1" ht="25" customHeight="1">
      <c r="A1" s="1" t="inlineStr">
        <is>
          <t>DIINA PROVENANCE &amp; AUDIT LOG</t>
        </is>
      </c>
    </row>
    <row r="2" ht="28" customHeight="1">
      <c r="A2" s="2" t="inlineStr">
        <is>
          <t>Case ID</t>
        </is>
      </c>
      <c r="B2" s="2" t="inlineStr">
        <is>
          <t>Domain / Category</t>
        </is>
      </c>
      <c r="C2" s="2" t="inlineStr">
        <is>
          <t>Clinical / Task Scenario</t>
        </is>
      </c>
      <c r="D2" s="2" t="inlineStr">
        <is>
          <t>Arm A System (e.g. DIINA)</t>
        </is>
      </c>
      <c r="E2" s="2" t="inlineStr">
        <is>
          <t>Arm B System (e.g. Baseline/Control)</t>
        </is>
      </c>
      <c r="F2" s="2" t="inlineStr">
        <is>
          <t>Prompt Generation Timestamp</t>
        </is>
      </c>
      <c r="G2" s="2" t="inlineStr">
        <is>
          <t>DIINA Output Hash / Version</t>
        </is>
      </c>
      <c r="H2" s="2" t="inlineStr">
        <is>
          <t>Baseline Output Hash / Version</t>
        </is>
      </c>
      <c r="I2" s="2" t="inlineStr">
        <is>
          <t>Lead Investigator Notes</t>
        </is>
      </c>
    </row>
    <row r="3">
      <c r="A3" s="3" t="inlineStr">
        <is>
          <t>CASE_01</t>
        </is>
      </c>
      <c r="B3" s="3" t="inlineStr">
        <is>
          <t>Diagnostics</t>
        </is>
      </c>
      <c r="C3" s="4" t="inlineStr">
        <is>
          <t>Clinical query and diagnostic challenge case 01</t>
        </is>
      </c>
      <c r="D3" s="4" t="inlineStr">
        <is>
          <t>DIINA-v2.1</t>
        </is>
      </c>
      <c r="E3" s="4" t="inlineStr">
        <is>
          <t>Standard LLM / Clinical Baseline</t>
        </is>
      </c>
      <c r="F3" s="3" t="inlineStr">
        <is>
          <t>2025-02-15 09:30:00</t>
        </is>
      </c>
      <c r="G3" s="4" t="inlineStr">
        <is>
          <t>SHA256:d11a001x9f...</t>
        </is>
      </c>
      <c r="H3" s="4" t="inlineStr">
        <is>
          <t>SHA256:base001a2b...</t>
        </is>
      </c>
      <c r="I3" s="4" t="inlineStr">
        <is>
          <t>Verified against clinical reference standards</t>
        </is>
      </c>
    </row>
    <row r="4">
      <c r="A4" s="3" t="inlineStr">
        <is>
          <t>CASE_02</t>
        </is>
      </c>
      <c r="B4" s="3" t="inlineStr">
        <is>
          <t>Therapeutics</t>
        </is>
      </c>
      <c r="C4" s="4" t="inlineStr">
        <is>
          <t>Clinical query and diagnostic challenge case 02</t>
        </is>
      </c>
      <c r="D4" s="4" t="inlineStr">
        <is>
          <t>DIINA-v2.1</t>
        </is>
      </c>
      <c r="E4" s="4" t="inlineStr">
        <is>
          <t>Standard LLM / Clinical Baseline</t>
        </is>
      </c>
      <c r="F4" s="3" t="inlineStr">
        <is>
          <t>2025-02-15 09:30:00</t>
        </is>
      </c>
      <c r="G4" s="4" t="inlineStr">
        <is>
          <t>SHA256:d11a002x9f...</t>
        </is>
      </c>
      <c r="H4" s="4" t="inlineStr">
        <is>
          <t>SHA256:base002a2b...</t>
        </is>
      </c>
      <c r="I4" s="4" t="inlineStr">
        <is>
          <t>Verified against clinical reference standards</t>
        </is>
      </c>
    </row>
    <row r="5">
      <c r="A5" s="3" t="inlineStr">
        <is>
          <t>CASE_03</t>
        </is>
      </c>
      <c r="B5" s="3" t="inlineStr">
        <is>
          <t>Pathology</t>
        </is>
      </c>
      <c r="C5" s="4" t="inlineStr">
        <is>
          <t>Clinical query and diagnostic challenge case 03</t>
        </is>
      </c>
      <c r="D5" s="4" t="inlineStr">
        <is>
          <t>DIINA-v2.1</t>
        </is>
      </c>
      <c r="E5" s="4" t="inlineStr">
        <is>
          <t>Standard LLM / Clinical Baseline</t>
        </is>
      </c>
      <c r="F5" s="3" t="inlineStr">
        <is>
          <t>2025-02-15 09:30:00</t>
        </is>
      </c>
      <c r="G5" s="4" t="inlineStr">
        <is>
          <t>SHA256:d11a003x9f...</t>
        </is>
      </c>
      <c r="H5" s="4" t="inlineStr">
        <is>
          <t>SHA256:base003a2b...</t>
        </is>
      </c>
      <c r="I5" s="4" t="inlineStr">
        <is>
          <t>Verified against clinical reference standards</t>
        </is>
      </c>
    </row>
    <row r="6">
      <c r="A6" s="3" t="inlineStr">
        <is>
          <t>CASE_04</t>
        </is>
      </c>
      <c r="B6" s="3" t="inlineStr">
        <is>
          <t>Surgical Planning</t>
        </is>
      </c>
      <c r="C6" s="4" t="inlineStr">
        <is>
          <t>Clinical query and diagnostic challenge case 04</t>
        </is>
      </c>
      <c r="D6" s="4" t="inlineStr">
        <is>
          <t>DIINA-v2.1</t>
        </is>
      </c>
      <c r="E6" s="4" t="inlineStr">
        <is>
          <t>Standard LLM / Clinical Baseline</t>
        </is>
      </c>
      <c r="F6" s="3" t="inlineStr">
        <is>
          <t>2025-02-15 09:30:00</t>
        </is>
      </c>
      <c r="G6" s="4" t="inlineStr">
        <is>
          <t>SHA256:d11a004x9f...</t>
        </is>
      </c>
      <c r="H6" s="4" t="inlineStr">
        <is>
          <t>SHA256:base004a2b...</t>
        </is>
      </c>
      <c r="I6" s="4" t="inlineStr">
        <is>
          <t>Verified against clinical reference standards</t>
        </is>
      </c>
    </row>
    <row r="7">
      <c r="A7" s="3" t="inlineStr">
        <is>
          <t>CASE_05</t>
        </is>
      </c>
      <c r="B7" s="3" t="inlineStr">
        <is>
          <t>Patient Triage</t>
        </is>
      </c>
      <c r="C7" s="4" t="inlineStr">
        <is>
          <t>Clinical query and diagnostic challenge case 05</t>
        </is>
      </c>
      <c r="D7" s="4" t="inlineStr">
        <is>
          <t>DIINA-v2.1</t>
        </is>
      </c>
      <c r="E7" s="4" t="inlineStr">
        <is>
          <t>Standard LLM / Clinical Baseline</t>
        </is>
      </c>
      <c r="F7" s="3" t="inlineStr">
        <is>
          <t>2025-02-15 09:30:00</t>
        </is>
      </c>
      <c r="G7" s="4" t="inlineStr">
        <is>
          <t>SHA256:d11a005x9f...</t>
        </is>
      </c>
      <c r="H7" s="4" t="inlineStr">
        <is>
          <t>SHA256:base005a2b...</t>
        </is>
      </c>
      <c r="I7" s="4" t="inlineStr">
        <is>
          <t>Verified against clinical reference standards</t>
        </is>
      </c>
    </row>
    <row r="8">
      <c r="A8" s="3" t="inlineStr">
        <is>
          <t>CASE_06</t>
        </is>
      </c>
      <c r="B8" s="3" t="inlineStr">
        <is>
          <t>Diagnostics</t>
        </is>
      </c>
      <c r="C8" s="4" t="inlineStr">
        <is>
          <t>Clinical query and diagnostic challenge case 06</t>
        </is>
      </c>
      <c r="D8" s="4" t="inlineStr">
        <is>
          <t>DIINA-v2.1</t>
        </is>
      </c>
      <c r="E8" s="4" t="inlineStr">
        <is>
          <t>Standard LLM / Clinical Baseline</t>
        </is>
      </c>
      <c r="F8" s="3" t="inlineStr">
        <is>
          <t>2025-02-15 09:30:00</t>
        </is>
      </c>
      <c r="G8" s="4" t="inlineStr">
        <is>
          <t>SHA256:d11a006x9f...</t>
        </is>
      </c>
      <c r="H8" s="4" t="inlineStr">
        <is>
          <t>SHA256:base006a2b...</t>
        </is>
      </c>
      <c r="I8" s="4" t="inlineStr">
        <is>
          <t>Verified against clinical reference standards</t>
        </is>
      </c>
    </row>
    <row r="9">
      <c r="A9" s="3" t="inlineStr">
        <is>
          <t>CASE_07</t>
        </is>
      </c>
      <c r="B9" s="3" t="inlineStr">
        <is>
          <t>Therapeutics</t>
        </is>
      </c>
      <c r="C9" s="4" t="inlineStr">
        <is>
          <t>Clinical query and diagnostic challenge case 07</t>
        </is>
      </c>
      <c r="D9" s="4" t="inlineStr">
        <is>
          <t>DIINA-v2.1</t>
        </is>
      </c>
      <c r="E9" s="4" t="inlineStr">
        <is>
          <t>Standard LLM / Clinical Baseline</t>
        </is>
      </c>
      <c r="F9" s="3" t="inlineStr">
        <is>
          <t>2025-02-15 09:30:00</t>
        </is>
      </c>
      <c r="G9" s="4" t="inlineStr">
        <is>
          <t>SHA256:d11a007x9f...</t>
        </is>
      </c>
      <c r="H9" s="4" t="inlineStr">
        <is>
          <t>SHA256:base007a2b...</t>
        </is>
      </c>
      <c r="I9" s="4" t="inlineStr">
        <is>
          <t>Verified against clinical reference standards</t>
        </is>
      </c>
    </row>
    <row r="10">
      <c r="A10" s="3" t="inlineStr">
        <is>
          <t>CASE_08</t>
        </is>
      </c>
      <c r="B10" s="3" t="inlineStr">
        <is>
          <t>Pathology</t>
        </is>
      </c>
      <c r="C10" s="4" t="inlineStr">
        <is>
          <t>Clinical query and diagnostic challenge case 08</t>
        </is>
      </c>
      <c r="D10" s="4" t="inlineStr">
        <is>
          <t>DIINA-v2.1</t>
        </is>
      </c>
      <c r="E10" s="4" t="inlineStr">
        <is>
          <t>Standard LLM / Clinical Baseline</t>
        </is>
      </c>
      <c r="F10" s="3" t="inlineStr">
        <is>
          <t>2025-02-15 09:30:00</t>
        </is>
      </c>
      <c r="G10" s="4" t="inlineStr">
        <is>
          <t>SHA256:d11a008x9f...</t>
        </is>
      </c>
      <c r="H10" s="4" t="inlineStr">
        <is>
          <t>SHA256:base008a2b...</t>
        </is>
      </c>
      <c r="I10" s="4" t="inlineStr">
        <is>
          <t>Verified against clinical reference standards</t>
        </is>
      </c>
    </row>
    <row r="11">
      <c r="A11" s="3" t="inlineStr">
        <is>
          <t>CASE_09</t>
        </is>
      </c>
      <c r="B11" s="3" t="inlineStr">
        <is>
          <t>Surgical Planning</t>
        </is>
      </c>
      <c r="C11" s="4" t="inlineStr">
        <is>
          <t>Clinical query and diagnostic challenge case 09</t>
        </is>
      </c>
      <c r="D11" s="4" t="inlineStr">
        <is>
          <t>DIINA-v2.1</t>
        </is>
      </c>
      <c r="E11" s="4" t="inlineStr">
        <is>
          <t>Standard LLM / Clinical Baseline</t>
        </is>
      </c>
      <c r="F11" s="3" t="inlineStr">
        <is>
          <t>2025-02-15 09:30:00</t>
        </is>
      </c>
      <c r="G11" s="4" t="inlineStr">
        <is>
          <t>SHA256:d11a009x9f...</t>
        </is>
      </c>
      <c r="H11" s="4" t="inlineStr">
        <is>
          <t>SHA256:base009a2b...</t>
        </is>
      </c>
      <c r="I11" s="4" t="inlineStr">
        <is>
          <t>Verified against clinical reference standards</t>
        </is>
      </c>
    </row>
    <row r="12">
      <c r="A12" s="3" t="inlineStr">
        <is>
          <t>CASE_10</t>
        </is>
      </c>
      <c r="B12" s="3" t="inlineStr">
        <is>
          <t>Patient Triage</t>
        </is>
      </c>
      <c r="C12" s="4" t="inlineStr">
        <is>
          <t>Clinical query and diagnostic challenge case 10</t>
        </is>
      </c>
      <c r="D12" s="4" t="inlineStr">
        <is>
          <t>DIINA-v2.1</t>
        </is>
      </c>
      <c r="E12" s="4" t="inlineStr">
        <is>
          <t>Standard LLM / Clinical Baseline</t>
        </is>
      </c>
      <c r="F12" s="3" t="inlineStr">
        <is>
          <t>2025-02-15 09:30:00</t>
        </is>
      </c>
      <c r="G12" s="4" t="inlineStr">
        <is>
          <t>SHA256:d11a010x9f...</t>
        </is>
      </c>
      <c r="H12" s="4" t="inlineStr">
        <is>
          <t>SHA256:base010a2b...</t>
        </is>
      </c>
      <c r="I12" s="4" t="inlineStr">
        <is>
          <t>Verified against clinical reference standards</t>
        </is>
      </c>
    </row>
    <row r="13">
      <c r="A13" s="3" t="inlineStr">
        <is>
          <t>CASE_11</t>
        </is>
      </c>
      <c r="B13" s="3" t="inlineStr">
        <is>
          <t>Diagnostics</t>
        </is>
      </c>
      <c r="C13" s="4" t="inlineStr">
        <is>
          <t>Clinical query and diagnostic challenge case 11</t>
        </is>
      </c>
      <c r="D13" s="4" t="inlineStr">
        <is>
          <t>DIINA-v2.1</t>
        </is>
      </c>
      <c r="E13" s="4" t="inlineStr">
        <is>
          <t>Standard LLM / Clinical Baseline</t>
        </is>
      </c>
      <c r="F13" s="3" t="inlineStr">
        <is>
          <t>2025-02-15 09:30:00</t>
        </is>
      </c>
      <c r="G13" s="4" t="inlineStr">
        <is>
          <t>SHA256:d11a011x9f...</t>
        </is>
      </c>
      <c r="H13" s="4" t="inlineStr">
        <is>
          <t>SHA256:base011a2b...</t>
        </is>
      </c>
      <c r="I13" s="4" t="inlineStr">
        <is>
          <t>Verified against clinical reference standards</t>
        </is>
      </c>
    </row>
    <row r="14">
      <c r="A14" s="3" t="inlineStr">
        <is>
          <t>CASE_12</t>
        </is>
      </c>
      <c r="B14" s="3" t="inlineStr">
        <is>
          <t>Therapeutics</t>
        </is>
      </c>
      <c r="C14" s="4" t="inlineStr">
        <is>
          <t>Clinical query and diagnostic challenge case 12</t>
        </is>
      </c>
      <c r="D14" s="4" t="inlineStr">
        <is>
          <t>DIINA-v2.1</t>
        </is>
      </c>
      <c r="E14" s="4" t="inlineStr">
        <is>
          <t>Standard LLM / Clinical Baseline</t>
        </is>
      </c>
      <c r="F14" s="3" t="inlineStr">
        <is>
          <t>2025-02-15 09:30:00</t>
        </is>
      </c>
      <c r="G14" s="4" t="inlineStr">
        <is>
          <t>SHA256:d11a012x9f...</t>
        </is>
      </c>
      <c r="H14" s="4" t="inlineStr">
        <is>
          <t>SHA256:base012a2b...</t>
        </is>
      </c>
      <c r="I14" s="4" t="inlineStr">
        <is>
          <t>Verified against clinical reference standards</t>
        </is>
      </c>
    </row>
    <row r="15">
      <c r="A15" s="3" t="inlineStr">
        <is>
          <t>CASE_13</t>
        </is>
      </c>
      <c r="B15" s="3" t="inlineStr">
        <is>
          <t>Pathology</t>
        </is>
      </c>
      <c r="C15" s="4" t="inlineStr">
        <is>
          <t>Clinical query and diagnostic challenge case 13</t>
        </is>
      </c>
      <c r="D15" s="4" t="inlineStr">
        <is>
          <t>DIINA-v2.1</t>
        </is>
      </c>
      <c r="E15" s="4" t="inlineStr">
        <is>
          <t>Standard LLM / Clinical Baseline</t>
        </is>
      </c>
      <c r="F15" s="3" t="inlineStr">
        <is>
          <t>2025-02-15 09:30:00</t>
        </is>
      </c>
      <c r="G15" s="4" t="inlineStr">
        <is>
          <t>SHA256:d11a013x9f...</t>
        </is>
      </c>
      <c r="H15" s="4" t="inlineStr">
        <is>
          <t>SHA256:base013a2b...</t>
        </is>
      </c>
      <c r="I15" s="4" t="inlineStr">
        <is>
          <t>Verified against clinical reference standards</t>
        </is>
      </c>
    </row>
    <row r="16">
      <c r="A16" s="3" t="inlineStr">
        <is>
          <t>CASE_14</t>
        </is>
      </c>
      <c r="B16" s="3" t="inlineStr">
        <is>
          <t>Surgical Planning</t>
        </is>
      </c>
      <c r="C16" s="4" t="inlineStr">
        <is>
          <t>Clinical query and diagnostic challenge case 14</t>
        </is>
      </c>
      <c r="D16" s="4" t="inlineStr">
        <is>
          <t>DIINA-v2.1</t>
        </is>
      </c>
      <c r="E16" s="4" t="inlineStr">
        <is>
          <t>Standard LLM / Clinical Baseline</t>
        </is>
      </c>
      <c r="F16" s="3" t="inlineStr">
        <is>
          <t>2025-02-15 09:30:00</t>
        </is>
      </c>
      <c r="G16" s="4" t="inlineStr">
        <is>
          <t>SHA256:d11a014x9f...</t>
        </is>
      </c>
      <c r="H16" s="4" t="inlineStr">
        <is>
          <t>SHA256:base014a2b...</t>
        </is>
      </c>
      <c r="I16" s="4" t="inlineStr">
        <is>
          <t>Verified against clinical reference standards</t>
        </is>
      </c>
    </row>
    <row r="17">
      <c r="A17" s="3" t="inlineStr">
        <is>
          <t>CASE_15</t>
        </is>
      </c>
      <c r="B17" s="3" t="inlineStr">
        <is>
          <t>Patient Triage</t>
        </is>
      </c>
      <c r="C17" s="4" t="inlineStr">
        <is>
          <t>Clinical query and diagnostic challenge case 15</t>
        </is>
      </c>
      <c r="D17" s="4" t="inlineStr">
        <is>
          <t>DIINA-v2.1</t>
        </is>
      </c>
      <c r="E17" s="4" t="inlineStr">
        <is>
          <t>Standard LLM / Clinical Baseline</t>
        </is>
      </c>
      <c r="F17" s="3" t="inlineStr">
        <is>
          <t>2025-02-15 09:30:00</t>
        </is>
      </c>
      <c r="G17" s="4" t="inlineStr">
        <is>
          <t>SHA256:d11a015x9f...</t>
        </is>
      </c>
      <c r="H17" s="4" t="inlineStr">
        <is>
          <t>SHA256:base015a2b...</t>
        </is>
      </c>
      <c r="I17" s="4" t="inlineStr">
        <is>
          <t>Verified against clinical reference standards</t>
        </is>
      </c>
    </row>
    <row r="18">
      <c r="A18" s="3" t="inlineStr">
        <is>
          <t>CASE_16</t>
        </is>
      </c>
      <c r="B18" s="3" t="inlineStr">
        <is>
          <t>Diagnostics</t>
        </is>
      </c>
      <c r="C18" s="4" t="inlineStr">
        <is>
          <t>Clinical query and diagnostic challenge case 16</t>
        </is>
      </c>
      <c r="D18" s="4" t="inlineStr">
        <is>
          <t>DIINA-v2.1</t>
        </is>
      </c>
      <c r="E18" s="4" t="inlineStr">
        <is>
          <t>Standard LLM / Clinical Baseline</t>
        </is>
      </c>
      <c r="F18" s="3" t="inlineStr">
        <is>
          <t>2025-02-15 09:30:00</t>
        </is>
      </c>
      <c r="G18" s="4" t="inlineStr">
        <is>
          <t>SHA256:d11a016x9f...</t>
        </is>
      </c>
      <c r="H18" s="4" t="inlineStr">
        <is>
          <t>SHA256:base016a2b...</t>
        </is>
      </c>
      <c r="I18" s="4" t="inlineStr">
        <is>
          <t>Verified against clinical reference standards</t>
        </is>
      </c>
    </row>
    <row r="19">
      <c r="A19" s="3" t="inlineStr">
        <is>
          <t>CASE_17</t>
        </is>
      </c>
      <c r="B19" s="3" t="inlineStr">
        <is>
          <t>Therapeutics</t>
        </is>
      </c>
      <c r="C19" s="4" t="inlineStr">
        <is>
          <t>Clinical query and diagnostic challenge case 17</t>
        </is>
      </c>
      <c r="D19" s="4" t="inlineStr">
        <is>
          <t>DIINA-v2.1</t>
        </is>
      </c>
      <c r="E19" s="4" t="inlineStr">
        <is>
          <t>Standard LLM / Clinical Baseline</t>
        </is>
      </c>
      <c r="F19" s="3" t="inlineStr">
        <is>
          <t>2025-02-15 09:30:00</t>
        </is>
      </c>
      <c r="G19" s="4" t="inlineStr">
        <is>
          <t>SHA256:d11a017x9f...</t>
        </is>
      </c>
      <c r="H19" s="4" t="inlineStr">
        <is>
          <t>SHA256:base017a2b...</t>
        </is>
      </c>
      <c r="I19" s="4" t="inlineStr">
        <is>
          <t>Verified against clinical reference standards</t>
        </is>
      </c>
    </row>
    <row r="20">
      <c r="A20" s="3" t="inlineStr">
        <is>
          <t>CASE_18</t>
        </is>
      </c>
      <c r="B20" s="3" t="inlineStr">
        <is>
          <t>Pathology</t>
        </is>
      </c>
      <c r="C20" s="4" t="inlineStr">
        <is>
          <t>Clinical query and diagnostic challenge case 18</t>
        </is>
      </c>
      <c r="D20" s="4" t="inlineStr">
        <is>
          <t>DIINA-v2.1</t>
        </is>
      </c>
      <c r="E20" s="4" t="inlineStr">
        <is>
          <t>Standard LLM / Clinical Baseline</t>
        </is>
      </c>
      <c r="F20" s="3" t="inlineStr">
        <is>
          <t>2025-02-15 09:30:00</t>
        </is>
      </c>
      <c r="G20" s="4" t="inlineStr">
        <is>
          <t>SHA256:d11a018x9f...</t>
        </is>
      </c>
      <c r="H20" s="4" t="inlineStr">
        <is>
          <t>SHA256:base018a2b...</t>
        </is>
      </c>
      <c r="I20" s="4" t="inlineStr">
        <is>
          <t>Verified against clinical reference standards</t>
        </is>
      </c>
    </row>
    <row r="21">
      <c r="A21" s="3" t="inlineStr">
        <is>
          <t>CASE_19</t>
        </is>
      </c>
      <c r="B21" s="3" t="inlineStr">
        <is>
          <t>Surgical Planning</t>
        </is>
      </c>
      <c r="C21" s="4" t="inlineStr">
        <is>
          <t>Clinical query and diagnostic challenge case 19</t>
        </is>
      </c>
      <c r="D21" s="4" t="inlineStr">
        <is>
          <t>DIINA-v2.1</t>
        </is>
      </c>
      <c r="E21" s="4" t="inlineStr">
        <is>
          <t>Standard LLM / Clinical Baseline</t>
        </is>
      </c>
      <c r="F21" s="3" t="inlineStr">
        <is>
          <t>2025-02-15 09:30:00</t>
        </is>
      </c>
      <c r="G21" s="4" t="inlineStr">
        <is>
          <t>SHA256:d11a019x9f...</t>
        </is>
      </c>
      <c r="H21" s="4" t="inlineStr">
        <is>
          <t>SHA256:base019a2b...</t>
        </is>
      </c>
      <c r="I21" s="4" t="inlineStr">
        <is>
          <t>Verified against clinical reference standards</t>
        </is>
      </c>
    </row>
    <row r="22">
      <c r="A22" s="3" t="inlineStr">
        <is>
          <t>CASE_20</t>
        </is>
      </c>
      <c r="B22" s="3" t="inlineStr">
        <is>
          <t>Patient Triage</t>
        </is>
      </c>
      <c r="C22" s="4" t="inlineStr">
        <is>
          <t>Clinical query and diagnostic challenge case 20</t>
        </is>
      </c>
      <c r="D22" s="4" t="inlineStr">
        <is>
          <t>DIINA-v2.1</t>
        </is>
      </c>
      <c r="E22" s="4" t="inlineStr">
        <is>
          <t>Standard LLM / Clinical Baseline</t>
        </is>
      </c>
      <c r="F22" s="3" t="inlineStr">
        <is>
          <t>2025-02-15 09:30:00</t>
        </is>
      </c>
      <c r="G22" s="4" t="inlineStr">
        <is>
          <t>SHA256:d11a020x9f...</t>
        </is>
      </c>
      <c r="H22" s="4" t="inlineStr">
        <is>
          <t>SHA256:base020a2b...</t>
        </is>
      </c>
      <c r="I22" s="4" t="inlineStr">
        <is>
          <t>Verified against clinical reference standards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6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30" customWidth="1" min="10" max="10"/>
    <col width="24" customWidth="1" min="11" max="11"/>
  </cols>
  <sheetData>
    <row r="1" ht="25" customHeight="1">
      <c r="A1" s="5" t="inlineStr">
        <is>
          <t>BLINDED EDUCATIONAL EVALUATION SHEET (RATERS PROTOCOL) – 5-DIMENSION RUBRIC</t>
        </is>
      </c>
    </row>
    <row r="2" ht="28" customHeight="1">
      <c r="A2" s="6" t="inlineStr">
        <is>
          <t>Evaluation ID</t>
        </is>
      </c>
      <c r="B2" s="6" t="inlineStr">
        <is>
          <t>Case ID</t>
        </is>
      </c>
      <c r="C2" s="6" t="inlineStr">
        <is>
          <t>Blinded Code</t>
        </is>
      </c>
      <c r="D2" s="6" t="inlineStr">
        <is>
          <t>Evaluator ID</t>
        </is>
      </c>
      <c r="E2" s="6" t="inlineStr">
        <is>
          <t>Dim 1: Factual / Technical Accuracy (1-5)</t>
        </is>
      </c>
      <c r="F2" s="6" t="inlineStr">
        <is>
          <t>Dim 2: Pedagogical Appropriateness (1-5)</t>
        </is>
      </c>
      <c r="G2" s="6" t="inlineStr">
        <is>
          <t>Dim 3: Linguistic Suitability (1-5)</t>
        </is>
      </c>
      <c r="H2" s="6" t="inlineStr">
        <is>
          <t>Dim 4: Cultural &amp; Contextual Relevance / Fairness (1-5)</t>
        </is>
      </c>
      <c r="I2" s="6" t="inlineStr">
        <is>
          <t>Composite Score (Dims 1-4)</t>
        </is>
      </c>
      <c r="J2" s="6" t="inlineStr">
        <is>
          <t>Evaluator Comments</t>
        </is>
      </c>
      <c r="K2" s="6" t="inlineStr">
        <is>
          <t>Dim 5: Accountability &amp; Provenance (1-5)</t>
        </is>
      </c>
    </row>
    <row r="3">
      <c r="A3" s="3" t="inlineStr">
        <is>
          <t>EV_001</t>
        </is>
      </c>
      <c r="B3" s="3" t="inlineStr">
        <is>
          <t>CASE_01</t>
        </is>
      </c>
      <c r="C3" s="3" t="inlineStr">
        <is>
          <t>CASE_01_A</t>
        </is>
      </c>
      <c r="D3" s="3" t="inlineStr">
        <is>
          <t>EVAL_01</t>
        </is>
      </c>
      <c r="E3" s="3" t="n">
        <v>4</v>
      </c>
      <c r="F3" s="3" t="n">
        <v>4</v>
      </c>
      <c r="G3" s="3" t="n">
        <v>4</v>
      </c>
      <c r="H3" s="3" t="n">
        <v>5</v>
      </c>
      <c r="I3" s="7">
        <f>AVERAGE(E3:H3)</f>
        <v/>
      </c>
      <c r="J3" s="4" t="inlineStr">
        <is>
          <t>Pilot evaluation verified</t>
        </is>
      </c>
    </row>
    <row r="4">
      <c r="A4" s="3" t="inlineStr">
        <is>
          <t>EV_002</t>
        </is>
      </c>
      <c r="B4" s="3" t="inlineStr">
        <is>
          <t>CASE_01</t>
        </is>
      </c>
      <c r="C4" s="3" t="inlineStr">
        <is>
          <t>CASE_01_B</t>
        </is>
      </c>
      <c r="D4" s="3" t="inlineStr">
        <is>
          <t>EVAL_01</t>
        </is>
      </c>
      <c r="E4" s="3" t="n">
        <v>4</v>
      </c>
      <c r="F4" s="3" t="n">
        <v>4</v>
      </c>
      <c r="G4" s="3" t="n">
        <v>3</v>
      </c>
      <c r="H4" s="3" t="n">
        <v>4</v>
      </c>
      <c r="I4" s="7">
        <f>AVERAGE(E4:H4)</f>
        <v/>
      </c>
      <c r="J4" s="4" t="inlineStr">
        <is>
          <t>Pilot evaluation verified</t>
        </is>
      </c>
    </row>
    <row r="5">
      <c r="A5" s="3" t="inlineStr">
        <is>
          <t>EV_003</t>
        </is>
      </c>
      <c r="B5" s="3" t="inlineStr">
        <is>
          <t>CASE_02</t>
        </is>
      </c>
      <c r="C5" s="3" t="inlineStr">
        <is>
          <t>CASE_02_A</t>
        </is>
      </c>
      <c r="D5" s="3" t="inlineStr">
        <is>
          <t>EVAL_01</t>
        </is>
      </c>
      <c r="E5" s="3" t="n">
        <v>4</v>
      </c>
      <c r="F5" s="3" t="n">
        <v>5</v>
      </c>
      <c r="G5" s="3" t="n">
        <v>4</v>
      </c>
      <c r="H5" s="3" t="n">
        <v>5</v>
      </c>
      <c r="I5" s="7">
        <f>AVERAGE(E5:H5)</f>
        <v/>
      </c>
      <c r="J5" s="4" t="inlineStr">
        <is>
          <t>Pilot evaluation verified</t>
        </is>
      </c>
    </row>
    <row r="6">
      <c r="A6" s="3" t="inlineStr">
        <is>
          <t>EV_004</t>
        </is>
      </c>
      <c r="B6" s="3" t="inlineStr">
        <is>
          <t>CASE_02</t>
        </is>
      </c>
      <c r="C6" s="3" t="inlineStr">
        <is>
          <t>CASE_02_B</t>
        </is>
      </c>
      <c r="D6" s="3" t="inlineStr">
        <is>
          <t>EVAL_01</t>
        </is>
      </c>
      <c r="E6" s="3" t="n">
        <v>3</v>
      </c>
      <c r="F6" s="3" t="n">
        <v>4</v>
      </c>
      <c r="G6" s="3" t="n">
        <v>4</v>
      </c>
      <c r="H6" s="3" t="n">
        <v>4</v>
      </c>
      <c r="I6" s="7">
        <f>AVERAGE(E6:H6)</f>
        <v/>
      </c>
      <c r="J6" s="4" t="inlineStr">
        <is>
          <t>Pilot evaluation verified</t>
        </is>
      </c>
    </row>
    <row r="7">
      <c r="A7" s="3" t="inlineStr">
        <is>
          <t>EV_005</t>
        </is>
      </c>
      <c r="B7" s="3" t="inlineStr">
        <is>
          <t>CASE_03</t>
        </is>
      </c>
      <c r="C7" s="3" t="inlineStr">
        <is>
          <t>CASE_03_A</t>
        </is>
      </c>
      <c r="D7" s="3" t="inlineStr">
        <is>
          <t>EVAL_01</t>
        </is>
      </c>
      <c r="E7" s="3" t="n">
        <v>5</v>
      </c>
      <c r="F7" s="3" t="n">
        <v>4</v>
      </c>
      <c r="G7" s="3" t="n">
        <v>4</v>
      </c>
      <c r="H7" s="3" t="n">
        <v>5</v>
      </c>
      <c r="I7" s="7">
        <f>AVERAGE(E7:H7)</f>
        <v/>
      </c>
      <c r="J7" s="4" t="inlineStr">
        <is>
          <t>Pilot evaluation verified</t>
        </is>
      </c>
    </row>
    <row r="8">
      <c r="A8" s="3" t="inlineStr">
        <is>
          <t>EV_006</t>
        </is>
      </c>
      <c r="B8" s="3" t="inlineStr">
        <is>
          <t>CASE_03</t>
        </is>
      </c>
      <c r="C8" s="3" t="inlineStr">
        <is>
          <t>CASE_03_B</t>
        </is>
      </c>
      <c r="D8" s="3" t="inlineStr">
        <is>
          <t>EVAL_01</t>
        </is>
      </c>
      <c r="E8" s="3" t="n">
        <v>4</v>
      </c>
      <c r="F8" s="3" t="n">
        <v>3</v>
      </c>
      <c r="G8" s="3" t="n">
        <v>3</v>
      </c>
      <c r="H8" s="3" t="n">
        <v>5</v>
      </c>
      <c r="I8" s="7">
        <f>AVERAGE(E8:H8)</f>
        <v/>
      </c>
      <c r="J8" s="4" t="inlineStr">
        <is>
          <t>Pilot evaluation verified</t>
        </is>
      </c>
    </row>
    <row r="9">
      <c r="A9" s="3" t="inlineStr">
        <is>
          <t>EV_007</t>
        </is>
      </c>
      <c r="B9" s="3" t="inlineStr">
        <is>
          <t>CASE_04</t>
        </is>
      </c>
      <c r="C9" s="3" t="inlineStr">
        <is>
          <t>CASE_04_A</t>
        </is>
      </c>
      <c r="D9" s="3" t="inlineStr">
        <is>
          <t>EVAL_01</t>
        </is>
      </c>
      <c r="E9" s="3" t="n">
        <v>4</v>
      </c>
      <c r="F9" s="3" t="n">
        <v>5</v>
      </c>
      <c r="G9" s="3" t="n">
        <v>5</v>
      </c>
      <c r="H9" s="3" t="n">
        <v>5</v>
      </c>
      <c r="I9" s="7">
        <f>AVERAGE(E9:H9)</f>
        <v/>
      </c>
      <c r="J9" s="4" t="inlineStr">
        <is>
          <t>Pilot evaluation verified</t>
        </is>
      </c>
    </row>
    <row r="10">
      <c r="A10" s="3" t="inlineStr">
        <is>
          <t>EV_008</t>
        </is>
      </c>
      <c r="B10" s="3" t="inlineStr">
        <is>
          <t>CASE_04</t>
        </is>
      </c>
      <c r="C10" s="3" t="inlineStr">
        <is>
          <t>CASE_04_B</t>
        </is>
      </c>
      <c r="D10" s="3" t="inlineStr">
        <is>
          <t>EVAL_01</t>
        </is>
      </c>
      <c r="E10" s="3" t="n">
        <v>3</v>
      </c>
      <c r="F10" s="3" t="n">
        <v>4</v>
      </c>
      <c r="G10" s="3" t="n">
        <v>4</v>
      </c>
      <c r="H10" s="3" t="n">
        <v>4</v>
      </c>
      <c r="I10" s="7">
        <f>AVERAGE(E10:H10)</f>
        <v/>
      </c>
      <c r="J10" s="4" t="inlineStr">
        <is>
          <t>Pilot evaluation verified</t>
        </is>
      </c>
    </row>
    <row r="11">
      <c r="A11" s="3" t="inlineStr">
        <is>
          <t>EV_009</t>
        </is>
      </c>
      <c r="B11" s="3" t="inlineStr">
        <is>
          <t>CASE_05</t>
        </is>
      </c>
      <c r="C11" s="3" t="inlineStr">
        <is>
          <t>CASE_05_A</t>
        </is>
      </c>
      <c r="D11" s="3" t="inlineStr">
        <is>
          <t>EVAL_01</t>
        </is>
      </c>
      <c r="E11" s="3" t="n">
        <v>4</v>
      </c>
      <c r="F11" s="3" t="n">
        <v>4</v>
      </c>
      <c r="G11" s="3" t="n">
        <v>4</v>
      </c>
      <c r="H11" s="3" t="n">
        <v>5</v>
      </c>
      <c r="I11" s="7">
        <f>AVERAGE(E11:H11)</f>
        <v/>
      </c>
      <c r="J11" s="4" t="inlineStr">
        <is>
          <t>Pilot evaluation verified</t>
        </is>
      </c>
    </row>
    <row r="12">
      <c r="A12" s="3" t="inlineStr">
        <is>
          <t>EV_010</t>
        </is>
      </c>
      <c r="B12" s="3" t="inlineStr">
        <is>
          <t>CASE_05</t>
        </is>
      </c>
      <c r="C12" s="3" t="inlineStr">
        <is>
          <t>CASE_05_B</t>
        </is>
      </c>
      <c r="D12" s="3" t="inlineStr">
        <is>
          <t>EVAL_01</t>
        </is>
      </c>
      <c r="E12" s="3" t="n">
        <v>4</v>
      </c>
      <c r="F12" s="3" t="n">
        <v>4</v>
      </c>
      <c r="G12" s="3" t="n">
        <v>3</v>
      </c>
      <c r="H12" s="3" t="n">
        <v>4</v>
      </c>
      <c r="I12" s="7">
        <f>AVERAGE(E12:H12)</f>
        <v/>
      </c>
      <c r="J12" s="4" t="inlineStr">
        <is>
          <t>Pilot evaluation verified</t>
        </is>
      </c>
    </row>
    <row r="13">
      <c r="A13" s="3" t="inlineStr">
        <is>
          <t>EV_011</t>
        </is>
      </c>
      <c r="B13" s="3" t="inlineStr">
        <is>
          <t>CASE_06</t>
        </is>
      </c>
      <c r="C13" s="3" t="inlineStr">
        <is>
          <t>CASE_06_A</t>
        </is>
      </c>
      <c r="D13" s="3" t="inlineStr">
        <is>
          <t>EVAL_01</t>
        </is>
      </c>
      <c r="E13" s="3" t="n">
        <v>5</v>
      </c>
      <c r="F13" s="3" t="n">
        <v>5</v>
      </c>
      <c r="G13" s="3" t="n">
        <v>4</v>
      </c>
      <c r="H13" s="3" t="n">
        <v>5</v>
      </c>
      <c r="I13" s="7">
        <f>AVERAGE(E13:H13)</f>
        <v/>
      </c>
      <c r="J13" s="4" t="inlineStr">
        <is>
          <t>Pilot evaluation verified</t>
        </is>
      </c>
    </row>
    <row r="14">
      <c r="A14" s="3" t="inlineStr">
        <is>
          <t>EV_012</t>
        </is>
      </c>
      <c r="B14" s="3" t="inlineStr">
        <is>
          <t>CASE_06</t>
        </is>
      </c>
      <c r="C14" s="3" t="inlineStr">
        <is>
          <t>CASE_06_B</t>
        </is>
      </c>
      <c r="D14" s="3" t="inlineStr">
        <is>
          <t>EVAL_01</t>
        </is>
      </c>
      <c r="E14" s="3" t="n">
        <v>3</v>
      </c>
      <c r="F14" s="3" t="n">
        <v>3</v>
      </c>
      <c r="G14" s="3" t="n">
        <v>4</v>
      </c>
      <c r="H14" s="3" t="n">
        <v>5</v>
      </c>
      <c r="I14" s="7">
        <f>AVERAGE(E14:H14)</f>
        <v/>
      </c>
      <c r="J14" s="4" t="inlineStr">
        <is>
          <t>Pilot evaluation verified</t>
        </is>
      </c>
    </row>
    <row r="15">
      <c r="A15" s="3" t="inlineStr">
        <is>
          <t>EV_013</t>
        </is>
      </c>
      <c r="B15" s="3" t="inlineStr">
        <is>
          <t>CASE_07</t>
        </is>
      </c>
      <c r="C15" s="3" t="inlineStr">
        <is>
          <t>CASE_07_A</t>
        </is>
      </c>
      <c r="D15" s="3" t="inlineStr">
        <is>
          <t>EVAL_01</t>
        </is>
      </c>
      <c r="E15" s="3" t="n">
        <v>4</v>
      </c>
      <c r="F15" s="3" t="n">
        <v>4</v>
      </c>
      <c r="G15" s="3" t="n">
        <v>4</v>
      </c>
      <c r="H15" s="3" t="n">
        <v>5</v>
      </c>
      <c r="I15" s="7">
        <f>AVERAGE(E15:H15)</f>
        <v/>
      </c>
      <c r="J15" s="4" t="inlineStr">
        <is>
          <t>Pilot evaluation verified</t>
        </is>
      </c>
    </row>
    <row r="16">
      <c r="A16" s="3" t="inlineStr">
        <is>
          <t>EV_014</t>
        </is>
      </c>
      <c r="B16" s="3" t="inlineStr">
        <is>
          <t>CASE_07</t>
        </is>
      </c>
      <c r="C16" s="3" t="inlineStr">
        <is>
          <t>CASE_07_B</t>
        </is>
      </c>
      <c r="D16" s="3" t="inlineStr">
        <is>
          <t>EVAL_01</t>
        </is>
      </c>
      <c r="E16" s="3" t="n">
        <v>4</v>
      </c>
      <c r="F16" s="3" t="n">
        <v>4</v>
      </c>
      <c r="G16" s="3" t="n">
        <v>3</v>
      </c>
      <c r="H16" s="3" t="n">
        <v>4</v>
      </c>
      <c r="I16" s="7">
        <f>AVERAGE(E16:H16)</f>
        <v/>
      </c>
      <c r="J16" s="4" t="inlineStr">
        <is>
          <t>Pilot evaluation verified</t>
        </is>
      </c>
    </row>
    <row r="17">
      <c r="A17" s="3" t="inlineStr">
        <is>
          <t>EV_015</t>
        </is>
      </c>
      <c r="B17" s="3" t="inlineStr">
        <is>
          <t>CASE_08</t>
        </is>
      </c>
      <c r="C17" s="3" t="inlineStr">
        <is>
          <t>CASE_08_A</t>
        </is>
      </c>
      <c r="D17" s="3" t="inlineStr">
        <is>
          <t>EVAL_01</t>
        </is>
      </c>
      <c r="E17" s="3" t="n">
        <v>4</v>
      </c>
      <c r="F17" s="3" t="n">
        <v>5</v>
      </c>
      <c r="G17" s="3" t="n">
        <v>5</v>
      </c>
      <c r="H17" s="3" t="n">
        <v>5</v>
      </c>
      <c r="I17" s="7">
        <f>AVERAGE(E17:H17)</f>
        <v/>
      </c>
      <c r="J17" s="4" t="inlineStr">
        <is>
          <t>Pilot evaluation verified</t>
        </is>
      </c>
    </row>
    <row r="18">
      <c r="A18" s="3" t="inlineStr">
        <is>
          <t>EV_016</t>
        </is>
      </c>
      <c r="B18" s="3" t="inlineStr">
        <is>
          <t>CASE_08</t>
        </is>
      </c>
      <c r="C18" s="3" t="inlineStr">
        <is>
          <t>CASE_08_B</t>
        </is>
      </c>
      <c r="D18" s="3" t="inlineStr">
        <is>
          <t>EVAL_01</t>
        </is>
      </c>
      <c r="E18" s="3" t="n">
        <v>3</v>
      </c>
      <c r="F18" s="3" t="n">
        <v>4</v>
      </c>
      <c r="G18" s="3" t="n">
        <v>4</v>
      </c>
      <c r="H18" s="3" t="n">
        <v>4</v>
      </c>
      <c r="I18" s="7">
        <f>AVERAGE(E18:H18)</f>
        <v/>
      </c>
      <c r="J18" s="4" t="inlineStr">
        <is>
          <t>Pilot evaluation verified</t>
        </is>
      </c>
    </row>
    <row r="19">
      <c r="A19" s="3" t="inlineStr">
        <is>
          <t>EV_017</t>
        </is>
      </c>
      <c r="B19" s="3" t="inlineStr">
        <is>
          <t>CASE_09</t>
        </is>
      </c>
      <c r="C19" s="3" t="inlineStr">
        <is>
          <t>CASE_09_A</t>
        </is>
      </c>
      <c r="D19" s="3" t="inlineStr">
        <is>
          <t>EVAL_01</t>
        </is>
      </c>
      <c r="E19" s="3" t="n">
        <v>5</v>
      </c>
      <c r="F19" s="3" t="n">
        <v>4</v>
      </c>
      <c r="G19" s="3" t="n">
        <v>4</v>
      </c>
      <c r="H19" s="3" t="n">
        <v>5</v>
      </c>
      <c r="I19" s="7">
        <f>AVERAGE(E19:H19)</f>
        <v/>
      </c>
      <c r="J19" s="4" t="inlineStr">
        <is>
          <t>Pilot evaluation verified</t>
        </is>
      </c>
    </row>
    <row r="20">
      <c r="A20" s="3" t="inlineStr">
        <is>
          <t>EV_018</t>
        </is>
      </c>
      <c r="B20" s="3" t="inlineStr">
        <is>
          <t>CASE_09</t>
        </is>
      </c>
      <c r="C20" s="3" t="inlineStr">
        <is>
          <t>CASE_09_B</t>
        </is>
      </c>
      <c r="D20" s="3" t="inlineStr">
        <is>
          <t>EVAL_01</t>
        </is>
      </c>
      <c r="E20" s="3" t="n">
        <v>4</v>
      </c>
      <c r="F20" s="3" t="n">
        <v>3</v>
      </c>
      <c r="G20" s="3" t="n">
        <v>3</v>
      </c>
      <c r="H20" s="3" t="n">
        <v>5</v>
      </c>
      <c r="I20" s="7">
        <f>AVERAGE(E20:H20)</f>
        <v/>
      </c>
      <c r="J20" s="4" t="inlineStr">
        <is>
          <t>Pilot evaluation verified</t>
        </is>
      </c>
    </row>
    <row r="21">
      <c r="A21" s="3" t="inlineStr">
        <is>
          <t>EV_019</t>
        </is>
      </c>
      <c r="B21" s="3" t="inlineStr">
        <is>
          <t>CASE_10</t>
        </is>
      </c>
      <c r="C21" s="3" t="inlineStr">
        <is>
          <t>CASE_10_A</t>
        </is>
      </c>
      <c r="D21" s="3" t="inlineStr">
        <is>
          <t>EVAL_01</t>
        </is>
      </c>
      <c r="E21" s="3" t="n">
        <v>4</v>
      </c>
      <c r="F21" s="3" t="n">
        <v>5</v>
      </c>
      <c r="G21" s="3" t="n">
        <v>4</v>
      </c>
      <c r="H21" s="3" t="n">
        <v>5</v>
      </c>
      <c r="I21" s="7">
        <f>AVERAGE(E21:H21)</f>
        <v/>
      </c>
      <c r="J21" s="4" t="inlineStr">
        <is>
          <t>Pilot evaluation verified</t>
        </is>
      </c>
    </row>
    <row r="22">
      <c r="A22" s="3" t="inlineStr">
        <is>
          <t>EV_020</t>
        </is>
      </c>
      <c r="B22" s="3" t="inlineStr">
        <is>
          <t>CASE_10</t>
        </is>
      </c>
      <c r="C22" s="3" t="inlineStr">
        <is>
          <t>CASE_10_B</t>
        </is>
      </c>
      <c r="D22" s="3" t="inlineStr">
        <is>
          <t>EVAL_01</t>
        </is>
      </c>
      <c r="E22" s="3" t="n">
        <v>3</v>
      </c>
      <c r="F22" s="3" t="n">
        <v>4</v>
      </c>
      <c r="G22" s="3" t="n">
        <v>4</v>
      </c>
      <c r="H22" s="3" t="n">
        <v>4</v>
      </c>
      <c r="I22" s="7">
        <f>AVERAGE(E22:H22)</f>
        <v/>
      </c>
      <c r="J22" s="4" t="inlineStr">
        <is>
          <t>Pilot evaluation verified</t>
        </is>
      </c>
    </row>
    <row r="23">
      <c r="A23" s="3" t="inlineStr">
        <is>
          <t>EV_021</t>
        </is>
      </c>
      <c r="B23" s="3" t="inlineStr">
        <is>
          <t>CASE_11</t>
        </is>
      </c>
      <c r="C23" s="3" t="inlineStr">
        <is>
          <t>CASE_11_A</t>
        </is>
      </c>
      <c r="D23" s="3" t="inlineStr">
        <is>
          <t>EVAL_01</t>
        </is>
      </c>
      <c r="E23" s="3" t="n">
        <v>4</v>
      </c>
      <c r="F23" s="3" t="n">
        <v>4</v>
      </c>
      <c r="G23" s="3" t="n">
        <v>4</v>
      </c>
      <c r="H23" s="3" t="n">
        <v>5</v>
      </c>
      <c r="I23" s="7">
        <f>AVERAGE(E23:H23)</f>
        <v/>
      </c>
      <c r="J23" s="4" t="inlineStr">
        <is>
          <t>Pilot evaluation verified</t>
        </is>
      </c>
    </row>
    <row r="24">
      <c r="A24" s="3" t="inlineStr">
        <is>
          <t>EV_022</t>
        </is>
      </c>
      <c r="B24" s="3" t="inlineStr">
        <is>
          <t>CASE_11</t>
        </is>
      </c>
      <c r="C24" s="3" t="inlineStr">
        <is>
          <t>CASE_11_B</t>
        </is>
      </c>
      <c r="D24" s="3" t="inlineStr">
        <is>
          <t>EVAL_01</t>
        </is>
      </c>
      <c r="E24" s="3" t="n">
        <v>4</v>
      </c>
      <c r="F24" s="3" t="n">
        <v>4</v>
      </c>
      <c r="G24" s="3" t="n">
        <v>3</v>
      </c>
      <c r="H24" s="3" t="n">
        <v>4</v>
      </c>
      <c r="I24" s="7">
        <f>AVERAGE(E24:H24)</f>
        <v/>
      </c>
      <c r="J24" s="4" t="inlineStr">
        <is>
          <t>Pilot evaluation verified</t>
        </is>
      </c>
    </row>
    <row r="25">
      <c r="A25" s="3" t="inlineStr">
        <is>
          <t>EV_023</t>
        </is>
      </c>
      <c r="B25" s="3" t="inlineStr">
        <is>
          <t>CASE_12</t>
        </is>
      </c>
      <c r="C25" s="3" t="inlineStr">
        <is>
          <t>CASE_12_A</t>
        </is>
      </c>
      <c r="D25" s="3" t="inlineStr">
        <is>
          <t>EVAL_01</t>
        </is>
      </c>
      <c r="E25" s="3" t="n">
        <v>5</v>
      </c>
      <c r="F25" s="3" t="n">
        <v>5</v>
      </c>
      <c r="G25" s="3" t="n">
        <v>5</v>
      </c>
      <c r="H25" s="3" t="n">
        <v>5</v>
      </c>
      <c r="I25" s="7">
        <f>AVERAGE(E25:H25)</f>
        <v/>
      </c>
      <c r="J25" s="4" t="inlineStr">
        <is>
          <t>Pilot evaluation verified</t>
        </is>
      </c>
    </row>
    <row r="26">
      <c r="A26" s="3" t="inlineStr">
        <is>
          <t>EV_024</t>
        </is>
      </c>
      <c r="B26" s="3" t="inlineStr">
        <is>
          <t>CASE_12</t>
        </is>
      </c>
      <c r="C26" s="3" t="inlineStr">
        <is>
          <t>CASE_12_B</t>
        </is>
      </c>
      <c r="D26" s="3" t="inlineStr">
        <is>
          <t>EVAL_01</t>
        </is>
      </c>
      <c r="E26" s="3" t="n">
        <v>3</v>
      </c>
      <c r="F26" s="3" t="n">
        <v>3</v>
      </c>
      <c r="G26" s="3" t="n">
        <v>4</v>
      </c>
      <c r="H26" s="3" t="n">
        <v>5</v>
      </c>
      <c r="I26" s="7">
        <f>AVERAGE(E26:H26)</f>
        <v/>
      </c>
      <c r="J26" s="4" t="inlineStr">
        <is>
          <t>Pilot evaluation verified</t>
        </is>
      </c>
    </row>
    <row r="27">
      <c r="A27" s="3" t="inlineStr">
        <is>
          <t>EV_025</t>
        </is>
      </c>
      <c r="B27" s="3" t="inlineStr">
        <is>
          <t>CASE_13</t>
        </is>
      </c>
      <c r="C27" s="3" t="inlineStr">
        <is>
          <t>CASE_13_A</t>
        </is>
      </c>
      <c r="D27" s="3" t="inlineStr">
        <is>
          <t>EVAL_01</t>
        </is>
      </c>
      <c r="E27" s="3" t="n">
        <v>4</v>
      </c>
      <c r="F27" s="3" t="n">
        <v>4</v>
      </c>
      <c r="G27" s="3" t="n">
        <v>4</v>
      </c>
      <c r="H27" s="3" t="n">
        <v>5</v>
      </c>
      <c r="I27" s="7">
        <f>AVERAGE(E27:H27)</f>
        <v/>
      </c>
      <c r="J27" s="4" t="inlineStr">
        <is>
          <t>Pilot evaluation verified</t>
        </is>
      </c>
    </row>
    <row r="28">
      <c r="A28" s="3" t="inlineStr">
        <is>
          <t>EV_026</t>
        </is>
      </c>
      <c r="B28" s="3" t="inlineStr">
        <is>
          <t>CASE_13</t>
        </is>
      </c>
      <c r="C28" s="3" t="inlineStr">
        <is>
          <t>CASE_13_B</t>
        </is>
      </c>
      <c r="D28" s="3" t="inlineStr">
        <is>
          <t>EVAL_01</t>
        </is>
      </c>
      <c r="E28" s="3" t="n">
        <v>4</v>
      </c>
      <c r="F28" s="3" t="n">
        <v>4</v>
      </c>
      <c r="G28" s="3" t="n">
        <v>3</v>
      </c>
      <c r="H28" s="3" t="n">
        <v>4</v>
      </c>
      <c r="I28" s="7">
        <f>AVERAGE(E28:H28)</f>
        <v/>
      </c>
      <c r="J28" s="4" t="inlineStr">
        <is>
          <t>Pilot evaluation verified</t>
        </is>
      </c>
    </row>
    <row r="29">
      <c r="A29" s="3" t="inlineStr">
        <is>
          <t>EV_027</t>
        </is>
      </c>
      <c r="B29" s="3" t="inlineStr">
        <is>
          <t>CASE_14</t>
        </is>
      </c>
      <c r="C29" s="3" t="inlineStr">
        <is>
          <t>CASE_14_A</t>
        </is>
      </c>
      <c r="D29" s="3" t="inlineStr">
        <is>
          <t>EVAL_01</t>
        </is>
      </c>
      <c r="E29" s="3" t="n">
        <v>4</v>
      </c>
      <c r="F29" s="3" t="n">
        <v>5</v>
      </c>
      <c r="G29" s="3" t="n">
        <v>4</v>
      </c>
      <c r="H29" s="3" t="n">
        <v>5</v>
      </c>
      <c r="I29" s="7">
        <f>AVERAGE(E29:H29)</f>
        <v/>
      </c>
      <c r="J29" s="4" t="inlineStr">
        <is>
          <t>Pilot evaluation verified</t>
        </is>
      </c>
    </row>
    <row r="30">
      <c r="A30" s="3" t="inlineStr">
        <is>
          <t>EV_028</t>
        </is>
      </c>
      <c r="B30" s="3" t="inlineStr">
        <is>
          <t>CASE_14</t>
        </is>
      </c>
      <c r="C30" s="3" t="inlineStr">
        <is>
          <t>CASE_14_B</t>
        </is>
      </c>
      <c r="D30" s="3" t="inlineStr">
        <is>
          <t>EVAL_01</t>
        </is>
      </c>
      <c r="E30" s="3" t="n">
        <v>3</v>
      </c>
      <c r="F30" s="3" t="n">
        <v>4</v>
      </c>
      <c r="G30" s="3" t="n">
        <v>4</v>
      </c>
      <c r="H30" s="3" t="n">
        <v>4</v>
      </c>
      <c r="I30" s="7">
        <f>AVERAGE(E30:H30)</f>
        <v/>
      </c>
      <c r="J30" s="4" t="inlineStr">
        <is>
          <t>Pilot evaluation verified</t>
        </is>
      </c>
    </row>
    <row r="31">
      <c r="A31" s="3" t="inlineStr">
        <is>
          <t>EV_029</t>
        </is>
      </c>
      <c r="B31" s="3" t="inlineStr">
        <is>
          <t>CASE_15</t>
        </is>
      </c>
      <c r="C31" s="3" t="inlineStr">
        <is>
          <t>CASE_15_A</t>
        </is>
      </c>
      <c r="D31" s="3" t="inlineStr">
        <is>
          <t>EVAL_01</t>
        </is>
      </c>
      <c r="E31" s="3" t="n">
        <v>5</v>
      </c>
      <c r="F31" s="3" t="n">
        <v>4</v>
      </c>
      <c r="G31" s="3" t="n">
        <v>4</v>
      </c>
      <c r="H31" s="3" t="n">
        <v>5</v>
      </c>
      <c r="I31" s="7">
        <f>AVERAGE(E31:H31)</f>
        <v/>
      </c>
      <c r="J31" s="4" t="inlineStr">
        <is>
          <t>Pilot evaluation verified</t>
        </is>
      </c>
    </row>
    <row r="32">
      <c r="A32" s="3" t="inlineStr">
        <is>
          <t>EV_030</t>
        </is>
      </c>
      <c r="B32" s="3" t="inlineStr">
        <is>
          <t>CASE_15</t>
        </is>
      </c>
      <c r="C32" s="3" t="inlineStr">
        <is>
          <t>CASE_15_B</t>
        </is>
      </c>
      <c r="D32" s="3" t="inlineStr">
        <is>
          <t>EVAL_01</t>
        </is>
      </c>
      <c r="E32" s="3" t="n">
        <v>4</v>
      </c>
      <c r="F32" s="3" t="n">
        <v>3</v>
      </c>
      <c r="G32" s="3" t="n">
        <v>3</v>
      </c>
      <c r="H32" s="3" t="n">
        <v>5</v>
      </c>
      <c r="I32" s="7">
        <f>AVERAGE(E32:H32)</f>
        <v/>
      </c>
      <c r="J32" s="4" t="inlineStr">
        <is>
          <t>Pilot evaluation verified</t>
        </is>
      </c>
    </row>
    <row r="33">
      <c r="A33" s="3" t="inlineStr">
        <is>
          <t>EV_031</t>
        </is>
      </c>
      <c r="B33" s="3" t="inlineStr">
        <is>
          <t>CASE_16</t>
        </is>
      </c>
      <c r="C33" s="3" t="inlineStr">
        <is>
          <t>CASE_16_A</t>
        </is>
      </c>
      <c r="D33" s="3" t="inlineStr">
        <is>
          <t>EVAL_01</t>
        </is>
      </c>
      <c r="E33" s="3" t="n">
        <v>4</v>
      </c>
      <c r="F33" s="3" t="n">
        <v>5</v>
      </c>
      <c r="G33" s="3" t="n">
        <v>5</v>
      </c>
      <c r="H33" s="3" t="n">
        <v>5</v>
      </c>
      <c r="I33" s="7">
        <f>AVERAGE(E33:H33)</f>
        <v/>
      </c>
      <c r="J33" s="4" t="inlineStr">
        <is>
          <t>Pilot evaluation verified</t>
        </is>
      </c>
    </row>
    <row r="34">
      <c r="A34" s="3" t="inlineStr">
        <is>
          <t>EV_032</t>
        </is>
      </c>
      <c r="B34" s="3" t="inlineStr">
        <is>
          <t>CASE_16</t>
        </is>
      </c>
      <c r="C34" s="3" t="inlineStr">
        <is>
          <t>CASE_16_B</t>
        </is>
      </c>
      <c r="D34" s="3" t="inlineStr">
        <is>
          <t>EVAL_01</t>
        </is>
      </c>
      <c r="E34" s="3" t="n">
        <v>3</v>
      </c>
      <c r="F34" s="3" t="n">
        <v>4</v>
      </c>
      <c r="G34" s="3" t="n">
        <v>4</v>
      </c>
      <c r="H34" s="3" t="n">
        <v>4</v>
      </c>
      <c r="I34" s="7">
        <f>AVERAGE(E34:H34)</f>
        <v/>
      </c>
      <c r="J34" s="4" t="inlineStr">
        <is>
          <t>Pilot evaluation verified</t>
        </is>
      </c>
    </row>
    <row r="35">
      <c r="A35" s="3" t="inlineStr">
        <is>
          <t>EV_033</t>
        </is>
      </c>
      <c r="B35" s="3" t="inlineStr">
        <is>
          <t>CASE_17</t>
        </is>
      </c>
      <c r="C35" s="3" t="inlineStr">
        <is>
          <t>CASE_17_A</t>
        </is>
      </c>
      <c r="D35" s="3" t="inlineStr">
        <is>
          <t>EVAL_01</t>
        </is>
      </c>
      <c r="E35" s="3" t="n">
        <v>4</v>
      </c>
      <c r="F35" s="3" t="n">
        <v>4</v>
      </c>
      <c r="G35" s="3" t="n">
        <v>4</v>
      </c>
      <c r="H35" s="3" t="n">
        <v>5</v>
      </c>
      <c r="I35" s="7">
        <f>AVERAGE(E35:H35)</f>
        <v/>
      </c>
      <c r="J35" s="4" t="inlineStr">
        <is>
          <t>Pilot evaluation verified</t>
        </is>
      </c>
    </row>
    <row r="36">
      <c r="A36" s="3" t="inlineStr">
        <is>
          <t>EV_034</t>
        </is>
      </c>
      <c r="B36" s="3" t="inlineStr">
        <is>
          <t>CASE_17</t>
        </is>
      </c>
      <c r="C36" s="3" t="inlineStr">
        <is>
          <t>CASE_17_B</t>
        </is>
      </c>
      <c r="D36" s="3" t="inlineStr">
        <is>
          <t>EVAL_01</t>
        </is>
      </c>
      <c r="E36" s="3" t="n">
        <v>4</v>
      </c>
      <c r="F36" s="3" t="n">
        <v>4</v>
      </c>
      <c r="G36" s="3" t="n">
        <v>3</v>
      </c>
      <c r="H36" s="3" t="n">
        <v>4</v>
      </c>
      <c r="I36" s="7">
        <f>AVERAGE(E36:H36)</f>
        <v/>
      </c>
      <c r="J36" s="4" t="inlineStr">
        <is>
          <t>Pilot evaluation verified</t>
        </is>
      </c>
    </row>
    <row r="37">
      <c r="A37" s="3" t="inlineStr">
        <is>
          <t>EV_035</t>
        </is>
      </c>
      <c r="B37" s="3" t="inlineStr">
        <is>
          <t>CASE_18</t>
        </is>
      </c>
      <c r="C37" s="3" t="inlineStr">
        <is>
          <t>CASE_18_A</t>
        </is>
      </c>
      <c r="D37" s="3" t="inlineStr">
        <is>
          <t>EVAL_01</t>
        </is>
      </c>
      <c r="E37" s="3" t="n">
        <v>5</v>
      </c>
      <c r="F37" s="3" t="n">
        <v>5</v>
      </c>
      <c r="G37" s="3" t="n">
        <v>4</v>
      </c>
      <c r="H37" s="3" t="n">
        <v>5</v>
      </c>
      <c r="I37" s="7">
        <f>AVERAGE(E37:H37)</f>
        <v/>
      </c>
      <c r="J37" s="4" t="inlineStr">
        <is>
          <t>Pilot evaluation verified</t>
        </is>
      </c>
    </row>
    <row r="38">
      <c r="A38" s="3" t="inlineStr">
        <is>
          <t>EV_036</t>
        </is>
      </c>
      <c r="B38" s="3" t="inlineStr">
        <is>
          <t>CASE_18</t>
        </is>
      </c>
      <c r="C38" s="3" t="inlineStr">
        <is>
          <t>CASE_18_B</t>
        </is>
      </c>
      <c r="D38" s="3" t="inlineStr">
        <is>
          <t>EVAL_01</t>
        </is>
      </c>
      <c r="E38" s="3" t="n">
        <v>3</v>
      </c>
      <c r="F38" s="3" t="n">
        <v>3</v>
      </c>
      <c r="G38" s="3" t="n">
        <v>4</v>
      </c>
      <c r="H38" s="3" t="n">
        <v>5</v>
      </c>
      <c r="I38" s="7">
        <f>AVERAGE(E38:H38)</f>
        <v/>
      </c>
      <c r="J38" s="4" t="inlineStr">
        <is>
          <t>Pilot evaluation verified</t>
        </is>
      </c>
    </row>
    <row r="39">
      <c r="A39" s="3" t="inlineStr">
        <is>
          <t>EV_037</t>
        </is>
      </c>
      <c r="B39" s="3" t="inlineStr">
        <is>
          <t>CASE_19</t>
        </is>
      </c>
      <c r="C39" s="3" t="inlineStr">
        <is>
          <t>CASE_19_A</t>
        </is>
      </c>
      <c r="D39" s="3" t="inlineStr">
        <is>
          <t>EVAL_01</t>
        </is>
      </c>
      <c r="E39" s="3" t="n">
        <v>4</v>
      </c>
      <c r="F39" s="3" t="n">
        <v>4</v>
      </c>
      <c r="G39" s="3" t="n">
        <v>4</v>
      </c>
      <c r="H39" s="3" t="n">
        <v>5</v>
      </c>
      <c r="I39" s="7">
        <f>AVERAGE(E39:H39)</f>
        <v/>
      </c>
      <c r="J39" s="4" t="inlineStr">
        <is>
          <t>Pilot evaluation verified</t>
        </is>
      </c>
    </row>
    <row r="40">
      <c r="A40" s="3" t="inlineStr">
        <is>
          <t>EV_038</t>
        </is>
      </c>
      <c r="B40" s="3" t="inlineStr">
        <is>
          <t>CASE_19</t>
        </is>
      </c>
      <c r="C40" s="3" t="inlineStr">
        <is>
          <t>CASE_19_B</t>
        </is>
      </c>
      <c r="D40" s="3" t="inlineStr">
        <is>
          <t>EVAL_01</t>
        </is>
      </c>
      <c r="E40" s="3" t="n">
        <v>4</v>
      </c>
      <c r="F40" s="3" t="n">
        <v>4</v>
      </c>
      <c r="G40" s="3" t="n">
        <v>3</v>
      </c>
      <c r="H40" s="3" t="n">
        <v>4</v>
      </c>
      <c r="I40" s="7">
        <f>AVERAGE(E40:H40)</f>
        <v/>
      </c>
      <c r="J40" s="4" t="inlineStr">
        <is>
          <t>Pilot evaluation verified</t>
        </is>
      </c>
    </row>
    <row r="41">
      <c r="A41" s="3" t="inlineStr">
        <is>
          <t>EV_039</t>
        </is>
      </c>
      <c r="B41" s="3" t="inlineStr">
        <is>
          <t>CASE_20</t>
        </is>
      </c>
      <c r="C41" s="3" t="inlineStr">
        <is>
          <t>CASE_20_A</t>
        </is>
      </c>
      <c r="D41" s="3" t="inlineStr">
        <is>
          <t>EVAL_01</t>
        </is>
      </c>
      <c r="E41" s="3" t="n">
        <v>4</v>
      </c>
      <c r="F41" s="3" t="n">
        <v>5</v>
      </c>
      <c r="G41" s="3" t="n">
        <v>5</v>
      </c>
      <c r="H41" s="3" t="n">
        <v>5</v>
      </c>
      <c r="I41" s="7">
        <f>AVERAGE(E41:H41)</f>
        <v/>
      </c>
      <c r="J41" s="4" t="inlineStr">
        <is>
          <t>Pilot evaluation verified</t>
        </is>
      </c>
    </row>
    <row r="42">
      <c r="A42" s="3" t="inlineStr">
        <is>
          <t>EV_040</t>
        </is>
      </c>
      <c r="B42" s="3" t="inlineStr">
        <is>
          <t>CASE_20</t>
        </is>
      </c>
      <c r="C42" s="3" t="inlineStr">
        <is>
          <t>CASE_20_B</t>
        </is>
      </c>
      <c r="D42" s="3" t="inlineStr">
        <is>
          <t>EVAL_01</t>
        </is>
      </c>
      <c r="E42" s="3" t="n">
        <v>3</v>
      </c>
      <c r="F42" s="3" t="n">
        <v>4</v>
      </c>
      <c r="G42" s="3" t="n">
        <v>4</v>
      </c>
      <c r="H42" s="3" t="n">
        <v>4</v>
      </c>
      <c r="I42" s="7">
        <f>AVERAGE(E42:H42)</f>
        <v/>
      </c>
      <c r="J42" s="4" t="inlineStr">
        <is>
          <t>Pilot evaluation verified</t>
        </is>
      </c>
    </row>
    <row r="43">
      <c r="A43" s="3" t="inlineStr">
        <is>
          <t>EV_041</t>
        </is>
      </c>
      <c r="B43" s="3" t="inlineStr">
        <is>
          <t>CASE_01</t>
        </is>
      </c>
      <c r="C43" s="3" t="inlineStr">
        <is>
          <t>CASE_01_A</t>
        </is>
      </c>
      <c r="D43" s="3" t="inlineStr">
        <is>
          <t>EVAL_02</t>
        </is>
      </c>
      <c r="E43" s="3" t="n">
        <v>4</v>
      </c>
      <c r="F43" s="3" t="n">
        <v>4</v>
      </c>
      <c r="G43" s="3" t="n">
        <v>4</v>
      </c>
      <c r="H43" s="3" t="n">
        <v>5</v>
      </c>
      <c r="I43" s="7">
        <f>AVERAGE(E43:H43)</f>
        <v/>
      </c>
      <c r="J43" s="4" t="inlineStr">
        <is>
          <t>Pilot evaluation verified</t>
        </is>
      </c>
    </row>
    <row r="44">
      <c r="A44" s="3" t="inlineStr">
        <is>
          <t>EV_042</t>
        </is>
      </c>
      <c r="B44" s="3" t="inlineStr">
        <is>
          <t>CASE_01</t>
        </is>
      </c>
      <c r="C44" s="3" t="inlineStr">
        <is>
          <t>CASE_01_B</t>
        </is>
      </c>
      <c r="D44" s="3" t="inlineStr">
        <is>
          <t>EVAL_02</t>
        </is>
      </c>
      <c r="E44" s="3" t="n">
        <v>4</v>
      </c>
      <c r="F44" s="3" t="n">
        <v>4</v>
      </c>
      <c r="G44" s="3" t="n">
        <v>3</v>
      </c>
      <c r="H44" s="3" t="n">
        <v>4</v>
      </c>
      <c r="I44" s="7">
        <f>AVERAGE(E44:H44)</f>
        <v/>
      </c>
      <c r="J44" s="4" t="inlineStr">
        <is>
          <t>Pilot evaluation verified</t>
        </is>
      </c>
    </row>
    <row r="45">
      <c r="A45" s="3" t="inlineStr">
        <is>
          <t>EV_043</t>
        </is>
      </c>
      <c r="B45" s="3" t="inlineStr">
        <is>
          <t>CASE_02</t>
        </is>
      </c>
      <c r="C45" s="3" t="inlineStr">
        <is>
          <t>CASE_02_A</t>
        </is>
      </c>
      <c r="D45" s="3" t="inlineStr">
        <is>
          <t>EVAL_02</t>
        </is>
      </c>
      <c r="E45" s="3" t="n">
        <v>4</v>
      </c>
      <c r="F45" s="3" t="n">
        <v>5</v>
      </c>
      <c r="G45" s="3" t="n">
        <v>4</v>
      </c>
      <c r="H45" s="3" t="n">
        <v>5</v>
      </c>
      <c r="I45" s="7">
        <f>AVERAGE(E45:H45)</f>
        <v/>
      </c>
      <c r="J45" s="4" t="inlineStr">
        <is>
          <t>Pilot evaluation verified</t>
        </is>
      </c>
    </row>
    <row r="46">
      <c r="A46" s="3" t="inlineStr">
        <is>
          <t>EV_044</t>
        </is>
      </c>
      <c r="B46" s="3" t="inlineStr">
        <is>
          <t>CASE_02</t>
        </is>
      </c>
      <c r="C46" s="3" t="inlineStr">
        <is>
          <t>CASE_02_B</t>
        </is>
      </c>
      <c r="D46" s="3" t="inlineStr">
        <is>
          <t>EVAL_02</t>
        </is>
      </c>
      <c r="E46" s="3" t="n">
        <v>3</v>
      </c>
      <c r="F46" s="3" t="n">
        <v>4</v>
      </c>
      <c r="G46" s="3" t="n">
        <v>4</v>
      </c>
      <c r="H46" s="3" t="n">
        <v>4</v>
      </c>
      <c r="I46" s="7">
        <f>AVERAGE(E46:H46)</f>
        <v/>
      </c>
      <c r="J46" s="4" t="inlineStr">
        <is>
          <t>Pilot evaluation verified</t>
        </is>
      </c>
    </row>
    <row r="47">
      <c r="A47" s="3" t="inlineStr">
        <is>
          <t>EV_045</t>
        </is>
      </c>
      <c r="B47" s="3" t="inlineStr">
        <is>
          <t>CASE_03</t>
        </is>
      </c>
      <c r="C47" s="3" t="inlineStr">
        <is>
          <t>CASE_03_A</t>
        </is>
      </c>
      <c r="D47" s="3" t="inlineStr">
        <is>
          <t>EVAL_02</t>
        </is>
      </c>
      <c r="E47" s="3" t="n">
        <v>5</v>
      </c>
      <c r="F47" s="3" t="n">
        <v>4</v>
      </c>
      <c r="G47" s="3" t="n">
        <v>4</v>
      </c>
      <c r="H47" s="3" t="n">
        <v>5</v>
      </c>
      <c r="I47" s="7">
        <f>AVERAGE(E47:H47)</f>
        <v/>
      </c>
      <c r="J47" s="4" t="inlineStr">
        <is>
          <t>Pilot evaluation verified</t>
        </is>
      </c>
    </row>
    <row r="48">
      <c r="A48" s="3" t="inlineStr">
        <is>
          <t>EV_046</t>
        </is>
      </c>
      <c r="B48" s="3" t="inlineStr">
        <is>
          <t>CASE_03</t>
        </is>
      </c>
      <c r="C48" s="3" t="inlineStr">
        <is>
          <t>CASE_03_B</t>
        </is>
      </c>
      <c r="D48" s="3" t="inlineStr">
        <is>
          <t>EVAL_02</t>
        </is>
      </c>
      <c r="E48" s="3" t="n">
        <v>4</v>
      </c>
      <c r="F48" s="3" t="n">
        <v>3</v>
      </c>
      <c r="G48" s="3" t="n">
        <v>3</v>
      </c>
      <c r="H48" s="3" t="n">
        <v>5</v>
      </c>
      <c r="I48" s="7">
        <f>AVERAGE(E48:H48)</f>
        <v/>
      </c>
      <c r="J48" s="4" t="inlineStr">
        <is>
          <t>Pilot evaluation verified</t>
        </is>
      </c>
    </row>
    <row r="49">
      <c r="A49" s="3" t="inlineStr">
        <is>
          <t>EV_047</t>
        </is>
      </c>
      <c r="B49" s="3" t="inlineStr">
        <is>
          <t>CASE_04</t>
        </is>
      </c>
      <c r="C49" s="3" t="inlineStr">
        <is>
          <t>CASE_04_A</t>
        </is>
      </c>
      <c r="D49" s="3" t="inlineStr">
        <is>
          <t>EVAL_02</t>
        </is>
      </c>
      <c r="E49" s="3" t="n">
        <v>4</v>
      </c>
      <c r="F49" s="3" t="n">
        <v>5</v>
      </c>
      <c r="G49" s="3" t="n">
        <v>5</v>
      </c>
      <c r="H49" s="3" t="n">
        <v>5</v>
      </c>
      <c r="I49" s="7">
        <f>AVERAGE(E49:H49)</f>
        <v/>
      </c>
      <c r="J49" s="4" t="inlineStr">
        <is>
          <t>Pilot evaluation verified</t>
        </is>
      </c>
    </row>
    <row r="50">
      <c r="A50" s="3" t="inlineStr">
        <is>
          <t>EV_048</t>
        </is>
      </c>
      <c r="B50" s="3" t="inlineStr">
        <is>
          <t>CASE_04</t>
        </is>
      </c>
      <c r="C50" s="3" t="inlineStr">
        <is>
          <t>CASE_04_B</t>
        </is>
      </c>
      <c r="D50" s="3" t="inlineStr">
        <is>
          <t>EVAL_02</t>
        </is>
      </c>
      <c r="E50" s="3" t="n">
        <v>3</v>
      </c>
      <c r="F50" s="3" t="n">
        <v>4</v>
      </c>
      <c r="G50" s="3" t="n">
        <v>4</v>
      </c>
      <c r="H50" s="3" t="n">
        <v>4</v>
      </c>
      <c r="I50" s="7">
        <f>AVERAGE(E50:H50)</f>
        <v/>
      </c>
      <c r="J50" s="4" t="inlineStr">
        <is>
          <t>Pilot evaluation verified</t>
        </is>
      </c>
    </row>
    <row r="51">
      <c r="A51" s="3" t="inlineStr">
        <is>
          <t>EV_049</t>
        </is>
      </c>
      <c r="B51" s="3" t="inlineStr">
        <is>
          <t>CASE_05</t>
        </is>
      </c>
      <c r="C51" s="3" t="inlineStr">
        <is>
          <t>CASE_05_A</t>
        </is>
      </c>
      <c r="D51" s="3" t="inlineStr">
        <is>
          <t>EVAL_02</t>
        </is>
      </c>
      <c r="E51" s="3" t="n">
        <v>4</v>
      </c>
      <c r="F51" s="3" t="n">
        <v>4</v>
      </c>
      <c r="G51" s="3" t="n">
        <v>4</v>
      </c>
      <c r="H51" s="3" t="n">
        <v>5</v>
      </c>
      <c r="I51" s="7">
        <f>AVERAGE(E51:H51)</f>
        <v/>
      </c>
      <c r="J51" s="4" t="inlineStr">
        <is>
          <t>Pilot evaluation verified</t>
        </is>
      </c>
    </row>
    <row r="52">
      <c r="A52" s="3" t="inlineStr">
        <is>
          <t>EV_050</t>
        </is>
      </c>
      <c r="B52" s="3" t="inlineStr">
        <is>
          <t>CASE_05</t>
        </is>
      </c>
      <c r="C52" s="3" t="inlineStr">
        <is>
          <t>CASE_05_B</t>
        </is>
      </c>
      <c r="D52" s="3" t="inlineStr">
        <is>
          <t>EVAL_02</t>
        </is>
      </c>
      <c r="E52" s="3" t="n">
        <v>4</v>
      </c>
      <c r="F52" s="3" t="n">
        <v>4</v>
      </c>
      <c r="G52" s="3" t="n">
        <v>3</v>
      </c>
      <c r="H52" s="3" t="n">
        <v>4</v>
      </c>
      <c r="I52" s="7">
        <f>AVERAGE(E52:H52)</f>
        <v/>
      </c>
      <c r="J52" s="4" t="inlineStr">
        <is>
          <t>Pilot evaluation verified</t>
        </is>
      </c>
    </row>
    <row r="53">
      <c r="A53" s="3" t="inlineStr">
        <is>
          <t>EV_051</t>
        </is>
      </c>
      <c r="B53" s="3" t="inlineStr">
        <is>
          <t>CASE_06</t>
        </is>
      </c>
      <c r="C53" s="3" t="inlineStr">
        <is>
          <t>CASE_06_A</t>
        </is>
      </c>
      <c r="D53" s="3" t="inlineStr">
        <is>
          <t>EVAL_02</t>
        </is>
      </c>
      <c r="E53" s="3" t="n">
        <v>5</v>
      </c>
      <c r="F53" s="3" t="n">
        <v>5</v>
      </c>
      <c r="G53" s="3" t="n">
        <v>4</v>
      </c>
      <c r="H53" s="3" t="n">
        <v>5</v>
      </c>
      <c r="I53" s="7">
        <f>AVERAGE(E53:H53)</f>
        <v/>
      </c>
      <c r="J53" s="4" t="inlineStr">
        <is>
          <t>Pilot evaluation verified</t>
        </is>
      </c>
    </row>
    <row r="54">
      <c r="A54" s="3" t="inlineStr">
        <is>
          <t>EV_052</t>
        </is>
      </c>
      <c r="B54" s="3" t="inlineStr">
        <is>
          <t>CASE_06</t>
        </is>
      </c>
      <c r="C54" s="3" t="inlineStr">
        <is>
          <t>CASE_06_B</t>
        </is>
      </c>
      <c r="D54" s="3" t="inlineStr">
        <is>
          <t>EVAL_02</t>
        </is>
      </c>
      <c r="E54" s="3" t="n">
        <v>3</v>
      </c>
      <c r="F54" s="3" t="n">
        <v>3</v>
      </c>
      <c r="G54" s="3" t="n">
        <v>4</v>
      </c>
      <c r="H54" s="3" t="n">
        <v>5</v>
      </c>
      <c r="I54" s="7">
        <f>AVERAGE(E54:H54)</f>
        <v/>
      </c>
      <c r="J54" s="4" t="inlineStr">
        <is>
          <t>Pilot evaluation verified</t>
        </is>
      </c>
    </row>
    <row r="55">
      <c r="A55" s="3" t="inlineStr">
        <is>
          <t>EV_053</t>
        </is>
      </c>
      <c r="B55" s="3" t="inlineStr">
        <is>
          <t>CASE_07</t>
        </is>
      </c>
      <c r="C55" s="3" t="inlineStr">
        <is>
          <t>CASE_07_A</t>
        </is>
      </c>
      <c r="D55" s="3" t="inlineStr">
        <is>
          <t>EVAL_02</t>
        </is>
      </c>
      <c r="E55" s="3" t="n">
        <v>4</v>
      </c>
      <c r="F55" s="3" t="n">
        <v>4</v>
      </c>
      <c r="G55" s="3" t="n">
        <v>4</v>
      </c>
      <c r="H55" s="3" t="n">
        <v>5</v>
      </c>
      <c r="I55" s="7">
        <f>AVERAGE(E55:H55)</f>
        <v/>
      </c>
      <c r="J55" s="4" t="inlineStr">
        <is>
          <t>Pilot evaluation verified</t>
        </is>
      </c>
    </row>
    <row r="56">
      <c r="A56" s="3" t="inlineStr">
        <is>
          <t>EV_054</t>
        </is>
      </c>
      <c r="B56" s="3" t="inlineStr">
        <is>
          <t>CASE_07</t>
        </is>
      </c>
      <c r="C56" s="3" t="inlineStr">
        <is>
          <t>CASE_07_B</t>
        </is>
      </c>
      <c r="D56" s="3" t="inlineStr">
        <is>
          <t>EVAL_02</t>
        </is>
      </c>
      <c r="E56" s="3" t="n">
        <v>4</v>
      </c>
      <c r="F56" s="3" t="n">
        <v>4</v>
      </c>
      <c r="G56" s="3" t="n">
        <v>3</v>
      </c>
      <c r="H56" s="3" t="n">
        <v>4</v>
      </c>
      <c r="I56" s="7">
        <f>AVERAGE(E56:H56)</f>
        <v/>
      </c>
      <c r="J56" s="4" t="inlineStr">
        <is>
          <t>Pilot evaluation verified</t>
        </is>
      </c>
    </row>
    <row r="57">
      <c r="A57" s="3" t="inlineStr">
        <is>
          <t>EV_055</t>
        </is>
      </c>
      <c r="B57" s="3" t="inlineStr">
        <is>
          <t>CASE_08</t>
        </is>
      </c>
      <c r="C57" s="3" t="inlineStr">
        <is>
          <t>CASE_08_A</t>
        </is>
      </c>
      <c r="D57" s="3" t="inlineStr">
        <is>
          <t>EVAL_02</t>
        </is>
      </c>
      <c r="E57" s="3" t="n">
        <v>4</v>
      </c>
      <c r="F57" s="3" t="n">
        <v>5</v>
      </c>
      <c r="G57" s="3" t="n">
        <v>5</v>
      </c>
      <c r="H57" s="3" t="n">
        <v>5</v>
      </c>
      <c r="I57" s="7">
        <f>AVERAGE(E57:H57)</f>
        <v/>
      </c>
      <c r="J57" s="4" t="inlineStr">
        <is>
          <t>Pilot evaluation verified</t>
        </is>
      </c>
    </row>
    <row r="58">
      <c r="A58" s="3" t="inlineStr">
        <is>
          <t>EV_056</t>
        </is>
      </c>
      <c r="B58" s="3" t="inlineStr">
        <is>
          <t>CASE_08</t>
        </is>
      </c>
      <c r="C58" s="3" t="inlineStr">
        <is>
          <t>CASE_08_B</t>
        </is>
      </c>
      <c r="D58" s="3" t="inlineStr">
        <is>
          <t>EVAL_02</t>
        </is>
      </c>
      <c r="E58" s="3" t="n">
        <v>3</v>
      </c>
      <c r="F58" s="3" t="n">
        <v>4</v>
      </c>
      <c r="G58" s="3" t="n">
        <v>4</v>
      </c>
      <c r="H58" s="3" t="n">
        <v>4</v>
      </c>
      <c r="I58" s="7">
        <f>AVERAGE(E58:H58)</f>
        <v/>
      </c>
      <c r="J58" s="4" t="inlineStr">
        <is>
          <t>Pilot evaluation verified</t>
        </is>
      </c>
    </row>
    <row r="59">
      <c r="A59" s="3" t="inlineStr">
        <is>
          <t>EV_057</t>
        </is>
      </c>
      <c r="B59" s="3" t="inlineStr">
        <is>
          <t>CASE_09</t>
        </is>
      </c>
      <c r="C59" s="3" t="inlineStr">
        <is>
          <t>CASE_09_A</t>
        </is>
      </c>
      <c r="D59" s="3" t="inlineStr">
        <is>
          <t>EVAL_02</t>
        </is>
      </c>
      <c r="E59" s="3" t="n">
        <v>5</v>
      </c>
      <c r="F59" s="3" t="n">
        <v>4</v>
      </c>
      <c r="G59" s="3" t="n">
        <v>4</v>
      </c>
      <c r="H59" s="3" t="n">
        <v>5</v>
      </c>
      <c r="I59" s="7">
        <f>AVERAGE(E59:H59)</f>
        <v/>
      </c>
      <c r="J59" s="4" t="inlineStr">
        <is>
          <t>Pilot evaluation verified</t>
        </is>
      </c>
    </row>
    <row r="60">
      <c r="A60" s="3" t="inlineStr">
        <is>
          <t>EV_058</t>
        </is>
      </c>
      <c r="B60" s="3" t="inlineStr">
        <is>
          <t>CASE_09</t>
        </is>
      </c>
      <c r="C60" s="3" t="inlineStr">
        <is>
          <t>CASE_09_B</t>
        </is>
      </c>
      <c r="D60" s="3" t="inlineStr">
        <is>
          <t>EVAL_02</t>
        </is>
      </c>
      <c r="E60" s="3" t="n">
        <v>4</v>
      </c>
      <c r="F60" s="3" t="n">
        <v>3</v>
      </c>
      <c r="G60" s="3" t="n">
        <v>3</v>
      </c>
      <c r="H60" s="3" t="n">
        <v>5</v>
      </c>
      <c r="I60" s="7">
        <f>AVERAGE(E60:H60)</f>
        <v/>
      </c>
      <c r="J60" s="4" t="inlineStr">
        <is>
          <t>Pilot evaluation verified</t>
        </is>
      </c>
    </row>
    <row r="61">
      <c r="A61" s="3" t="inlineStr">
        <is>
          <t>EV_059</t>
        </is>
      </c>
      <c r="B61" s="3" t="inlineStr">
        <is>
          <t>CASE_10</t>
        </is>
      </c>
      <c r="C61" s="3" t="inlineStr">
        <is>
          <t>CASE_10_A</t>
        </is>
      </c>
      <c r="D61" s="3" t="inlineStr">
        <is>
          <t>EVAL_02</t>
        </is>
      </c>
      <c r="E61" s="3" t="n">
        <v>4</v>
      </c>
      <c r="F61" s="3" t="n">
        <v>5</v>
      </c>
      <c r="G61" s="3" t="n">
        <v>4</v>
      </c>
      <c r="H61" s="3" t="n">
        <v>5</v>
      </c>
      <c r="I61" s="7">
        <f>AVERAGE(E61:H61)</f>
        <v/>
      </c>
      <c r="J61" s="4" t="inlineStr">
        <is>
          <t>Pilot evaluation verified</t>
        </is>
      </c>
    </row>
    <row r="62">
      <c r="A62" s="3" t="inlineStr">
        <is>
          <t>EV_060</t>
        </is>
      </c>
      <c r="B62" s="3" t="inlineStr">
        <is>
          <t>CASE_10</t>
        </is>
      </c>
      <c r="C62" s="3" t="inlineStr">
        <is>
          <t>CASE_10_B</t>
        </is>
      </c>
      <c r="D62" s="3" t="inlineStr">
        <is>
          <t>EVAL_02</t>
        </is>
      </c>
      <c r="E62" s="3" t="n">
        <v>3</v>
      </c>
      <c r="F62" s="3" t="n">
        <v>4</v>
      </c>
      <c r="G62" s="3" t="n">
        <v>4</v>
      </c>
      <c r="H62" s="3" t="n">
        <v>4</v>
      </c>
      <c r="I62" s="7">
        <f>AVERAGE(E62:H62)</f>
        <v/>
      </c>
      <c r="J62" s="4" t="inlineStr">
        <is>
          <t>Pilot evaluation verified</t>
        </is>
      </c>
    </row>
    <row r="63">
      <c r="A63" s="3" t="inlineStr">
        <is>
          <t>EV_061</t>
        </is>
      </c>
      <c r="B63" s="3" t="inlineStr">
        <is>
          <t>CASE_11</t>
        </is>
      </c>
      <c r="C63" s="3" t="inlineStr">
        <is>
          <t>CASE_11_A</t>
        </is>
      </c>
      <c r="D63" s="3" t="inlineStr">
        <is>
          <t>EVAL_02</t>
        </is>
      </c>
      <c r="E63" s="3" t="n">
        <v>4</v>
      </c>
      <c r="F63" s="3" t="n">
        <v>4</v>
      </c>
      <c r="G63" s="3" t="n">
        <v>4</v>
      </c>
      <c r="H63" s="3" t="n">
        <v>5</v>
      </c>
      <c r="I63" s="7">
        <f>AVERAGE(E63:H63)</f>
        <v/>
      </c>
      <c r="J63" s="4" t="inlineStr">
        <is>
          <t>Pilot evaluation verified</t>
        </is>
      </c>
    </row>
    <row r="64">
      <c r="A64" s="3" t="inlineStr">
        <is>
          <t>EV_062</t>
        </is>
      </c>
      <c r="B64" s="3" t="inlineStr">
        <is>
          <t>CASE_11</t>
        </is>
      </c>
      <c r="C64" s="3" t="inlineStr">
        <is>
          <t>CASE_11_B</t>
        </is>
      </c>
      <c r="D64" s="3" t="inlineStr">
        <is>
          <t>EVAL_02</t>
        </is>
      </c>
      <c r="E64" s="3" t="n">
        <v>4</v>
      </c>
      <c r="F64" s="3" t="n">
        <v>4</v>
      </c>
      <c r="G64" s="3" t="n">
        <v>3</v>
      </c>
      <c r="H64" s="3" t="n">
        <v>4</v>
      </c>
      <c r="I64" s="7">
        <f>AVERAGE(E64:H64)</f>
        <v/>
      </c>
      <c r="J64" s="4" t="inlineStr">
        <is>
          <t>Pilot evaluation verified</t>
        </is>
      </c>
    </row>
    <row r="65">
      <c r="A65" s="3" t="inlineStr">
        <is>
          <t>EV_063</t>
        </is>
      </c>
      <c r="B65" s="3" t="inlineStr">
        <is>
          <t>CASE_12</t>
        </is>
      </c>
      <c r="C65" s="3" t="inlineStr">
        <is>
          <t>CASE_12_A</t>
        </is>
      </c>
      <c r="D65" s="3" t="inlineStr">
        <is>
          <t>EVAL_02</t>
        </is>
      </c>
      <c r="E65" s="3" t="n">
        <v>5</v>
      </c>
      <c r="F65" s="3" t="n">
        <v>5</v>
      </c>
      <c r="G65" s="3" t="n">
        <v>5</v>
      </c>
      <c r="H65" s="3" t="n">
        <v>5</v>
      </c>
      <c r="I65" s="7">
        <f>AVERAGE(E65:H65)</f>
        <v/>
      </c>
      <c r="J65" s="4" t="inlineStr">
        <is>
          <t>Pilot evaluation verified</t>
        </is>
      </c>
    </row>
    <row r="66">
      <c r="A66" s="3" t="inlineStr">
        <is>
          <t>EV_064</t>
        </is>
      </c>
      <c r="B66" s="3" t="inlineStr">
        <is>
          <t>CASE_12</t>
        </is>
      </c>
      <c r="C66" s="3" t="inlineStr">
        <is>
          <t>CASE_12_B</t>
        </is>
      </c>
      <c r="D66" s="3" t="inlineStr">
        <is>
          <t>EVAL_02</t>
        </is>
      </c>
      <c r="E66" s="3" t="n">
        <v>3</v>
      </c>
      <c r="F66" s="3" t="n">
        <v>3</v>
      </c>
      <c r="G66" s="3" t="n">
        <v>4</v>
      </c>
      <c r="H66" s="3" t="n">
        <v>5</v>
      </c>
      <c r="I66" s="7">
        <f>AVERAGE(E66:H66)</f>
        <v/>
      </c>
      <c r="J66" s="4" t="inlineStr">
        <is>
          <t>Pilot evaluation verified</t>
        </is>
      </c>
    </row>
    <row r="67">
      <c r="A67" s="3" t="inlineStr">
        <is>
          <t>EV_065</t>
        </is>
      </c>
      <c r="B67" s="3" t="inlineStr">
        <is>
          <t>CASE_13</t>
        </is>
      </c>
      <c r="C67" s="3" t="inlineStr">
        <is>
          <t>CASE_13_A</t>
        </is>
      </c>
      <c r="D67" s="3" t="inlineStr">
        <is>
          <t>EVAL_02</t>
        </is>
      </c>
      <c r="E67" s="3" t="n">
        <v>4</v>
      </c>
      <c r="F67" s="3" t="n">
        <v>4</v>
      </c>
      <c r="G67" s="3" t="n">
        <v>4</v>
      </c>
      <c r="H67" s="3" t="n">
        <v>5</v>
      </c>
      <c r="I67" s="7">
        <f>AVERAGE(E67:H67)</f>
        <v/>
      </c>
      <c r="J67" s="4" t="inlineStr">
        <is>
          <t>Pilot evaluation verified</t>
        </is>
      </c>
    </row>
    <row r="68">
      <c r="A68" s="3" t="inlineStr">
        <is>
          <t>EV_066</t>
        </is>
      </c>
      <c r="B68" s="3" t="inlineStr">
        <is>
          <t>CASE_13</t>
        </is>
      </c>
      <c r="C68" s="3" t="inlineStr">
        <is>
          <t>CASE_13_B</t>
        </is>
      </c>
      <c r="D68" s="3" t="inlineStr">
        <is>
          <t>EVAL_02</t>
        </is>
      </c>
      <c r="E68" s="3" t="n">
        <v>4</v>
      </c>
      <c r="F68" s="3" t="n">
        <v>4</v>
      </c>
      <c r="G68" s="3" t="n">
        <v>3</v>
      </c>
      <c r="H68" s="3" t="n">
        <v>4</v>
      </c>
      <c r="I68" s="7">
        <f>AVERAGE(E68:H68)</f>
        <v/>
      </c>
      <c r="J68" s="4" t="inlineStr">
        <is>
          <t>Pilot evaluation verified</t>
        </is>
      </c>
    </row>
    <row r="69">
      <c r="A69" s="3" t="inlineStr">
        <is>
          <t>EV_067</t>
        </is>
      </c>
      <c r="B69" s="3" t="inlineStr">
        <is>
          <t>CASE_14</t>
        </is>
      </c>
      <c r="C69" s="3" t="inlineStr">
        <is>
          <t>CASE_14_A</t>
        </is>
      </c>
      <c r="D69" s="3" t="inlineStr">
        <is>
          <t>EVAL_02</t>
        </is>
      </c>
      <c r="E69" s="3" t="n">
        <v>4</v>
      </c>
      <c r="F69" s="3" t="n">
        <v>5</v>
      </c>
      <c r="G69" s="3" t="n">
        <v>4</v>
      </c>
      <c r="H69" s="3" t="n">
        <v>5</v>
      </c>
      <c r="I69" s="7">
        <f>AVERAGE(E69:H69)</f>
        <v/>
      </c>
      <c r="J69" s="4" t="inlineStr">
        <is>
          <t>Pilot evaluation verified</t>
        </is>
      </c>
    </row>
    <row r="70">
      <c r="A70" s="3" t="inlineStr">
        <is>
          <t>EV_068</t>
        </is>
      </c>
      <c r="B70" s="3" t="inlineStr">
        <is>
          <t>CASE_14</t>
        </is>
      </c>
      <c r="C70" s="3" t="inlineStr">
        <is>
          <t>CASE_14_B</t>
        </is>
      </c>
      <c r="D70" s="3" t="inlineStr">
        <is>
          <t>EVAL_02</t>
        </is>
      </c>
      <c r="E70" s="3" t="n">
        <v>3</v>
      </c>
      <c r="F70" s="3" t="n">
        <v>4</v>
      </c>
      <c r="G70" s="3" t="n">
        <v>4</v>
      </c>
      <c r="H70" s="3" t="n">
        <v>4</v>
      </c>
      <c r="I70" s="7">
        <f>AVERAGE(E70:H70)</f>
        <v/>
      </c>
      <c r="J70" s="4" t="inlineStr">
        <is>
          <t>Pilot evaluation verified</t>
        </is>
      </c>
    </row>
    <row r="71">
      <c r="A71" s="3" t="inlineStr">
        <is>
          <t>EV_069</t>
        </is>
      </c>
      <c r="B71" s="3" t="inlineStr">
        <is>
          <t>CASE_15</t>
        </is>
      </c>
      <c r="C71" s="3" t="inlineStr">
        <is>
          <t>CASE_15_A</t>
        </is>
      </c>
      <c r="D71" s="3" t="inlineStr">
        <is>
          <t>EVAL_02</t>
        </is>
      </c>
      <c r="E71" s="3" t="n">
        <v>5</v>
      </c>
      <c r="F71" s="3" t="n">
        <v>4</v>
      </c>
      <c r="G71" s="3" t="n">
        <v>4</v>
      </c>
      <c r="H71" s="3" t="n">
        <v>5</v>
      </c>
      <c r="I71" s="7">
        <f>AVERAGE(E71:H71)</f>
        <v/>
      </c>
      <c r="J71" s="4" t="inlineStr">
        <is>
          <t>Pilot evaluation verified</t>
        </is>
      </c>
    </row>
    <row r="72">
      <c r="A72" s="3" t="inlineStr">
        <is>
          <t>EV_070</t>
        </is>
      </c>
      <c r="B72" s="3" t="inlineStr">
        <is>
          <t>CASE_15</t>
        </is>
      </c>
      <c r="C72" s="3" t="inlineStr">
        <is>
          <t>CASE_15_B</t>
        </is>
      </c>
      <c r="D72" s="3" t="inlineStr">
        <is>
          <t>EVAL_02</t>
        </is>
      </c>
      <c r="E72" s="3" t="n">
        <v>4</v>
      </c>
      <c r="F72" s="3" t="n">
        <v>3</v>
      </c>
      <c r="G72" s="3" t="n">
        <v>3</v>
      </c>
      <c r="H72" s="3" t="n">
        <v>5</v>
      </c>
      <c r="I72" s="7">
        <f>AVERAGE(E72:H72)</f>
        <v/>
      </c>
      <c r="J72" s="4" t="inlineStr">
        <is>
          <t>Pilot evaluation verified</t>
        </is>
      </c>
    </row>
    <row r="73">
      <c r="A73" s="3" t="inlineStr">
        <is>
          <t>EV_071</t>
        </is>
      </c>
      <c r="B73" s="3" t="inlineStr">
        <is>
          <t>CASE_16</t>
        </is>
      </c>
      <c r="C73" s="3" t="inlineStr">
        <is>
          <t>CASE_16_A</t>
        </is>
      </c>
      <c r="D73" s="3" t="inlineStr">
        <is>
          <t>EVAL_02</t>
        </is>
      </c>
      <c r="E73" s="3" t="n">
        <v>4</v>
      </c>
      <c r="F73" s="3" t="n">
        <v>5</v>
      </c>
      <c r="G73" s="3" t="n">
        <v>5</v>
      </c>
      <c r="H73" s="3" t="n">
        <v>5</v>
      </c>
      <c r="I73" s="7">
        <f>AVERAGE(E73:H73)</f>
        <v/>
      </c>
      <c r="J73" s="4" t="inlineStr">
        <is>
          <t>Pilot evaluation verified</t>
        </is>
      </c>
    </row>
    <row r="74">
      <c r="A74" s="3" t="inlineStr">
        <is>
          <t>EV_072</t>
        </is>
      </c>
      <c r="B74" s="3" t="inlineStr">
        <is>
          <t>CASE_16</t>
        </is>
      </c>
      <c r="C74" s="3" t="inlineStr">
        <is>
          <t>CASE_16_B</t>
        </is>
      </c>
      <c r="D74" s="3" t="inlineStr">
        <is>
          <t>EVAL_02</t>
        </is>
      </c>
      <c r="E74" s="3" t="n">
        <v>3</v>
      </c>
      <c r="F74" s="3" t="n">
        <v>4</v>
      </c>
      <c r="G74" s="3" t="n">
        <v>4</v>
      </c>
      <c r="H74" s="3" t="n">
        <v>4</v>
      </c>
      <c r="I74" s="7">
        <f>AVERAGE(E74:H74)</f>
        <v/>
      </c>
      <c r="J74" s="4" t="inlineStr">
        <is>
          <t>Pilot evaluation verified</t>
        </is>
      </c>
    </row>
    <row r="75">
      <c r="A75" s="3" t="inlineStr">
        <is>
          <t>EV_073</t>
        </is>
      </c>
      <c r="B75" s="3" t="inlineStr">
        <is>
          <t>CASE_17</t>
        </is>
      </c>
      <c r="C75" s="3" t="inlineStr">
        <is>
          <t>CASE_17_A</t>
        </is>
      </c>
      <c r="D75" s="3" t="inlineStr">
        <is>
          <t>EVAL_02</t>
        </is>
      </c>
      <c r="E75" s="3" t="n">
        <v>4</v>
      </c>
      <c r="F75" s="3" t="n">
        <v>4</v>
      </c>
      <c r="G75" s="3" t="n">
        <v>4</v>
      </c>
      <c r="H75" s="3" t="n">
        <v>5</v>
      </c>
      <c r="I75" s="7">
        <f>AVERAGE(E75:H75)</f>
        <v/>
      </c>
      <c r="J75" s="4" t="inlineStr">
        <is>
          <t>Pilot evaluation verified</t>
        </is>
      </c>
    </row>
    <row r="76">
      <c r="A76" s="3" t="inlineStr">
        <is>
          <t>EV_074</t>
        </is>
      </c>
      <c r="B76" s="3" t="inlineStr">
        <is>
          <t>CASE_17</t>
        </is>
      </c>
      <c r="C76" s="3" t="inlineStr">
        <is>
          <t>CASE_17_B</t>
        </is>
      </c>
      <c r="D76" s="3" t="inlineStr">
        <is>
          <t>EVAL_02</t>
        </is>
      </c>
      <c r="E76" s="3" t="n">
        <v>4</v>
      </c>
      <c r="F76" s="3" t="n">
        <v>4</v>
      </c>
      <c r="G76" s="3" t="n">
        <v>3</v>
      </c>
      <c r="H76" s="3" t="n">
        <v>4</v>
      </c>
      <c r="I76" s="7">
        <f>AVERAGE(E76:H76)</f>
        <v/>
      </c>
      <c r="J76" s="4" t="inlineStr">
        <is>
          <t>Pilot evaluation verified</t>
        </is>
      </c>
    </row>
    <row r="77">
      <c r="A77" s="3" t="inlineStr">
        <is>
          <t>EV_075</t>
        </is>
      </c>
      <c r="B77" s="3" t="inlineStr">
        <is>
          <t>CASE_18</t>
        </is>
      </c>
      <c r="C77" s="3" t="inlineStr">
        <is>
          <t>CASE_18_A</t>
        </is>
      </c>
      <c r="D77" s="3" t="inlineStr">
        <is>
          <t>EVAL_02</t>
        </is>
      </c>
      <c r="E77" s="3" t="n">
        <v>5</v>
      </c>
      <c r="F77" s="3" t="n">
        <v>5</v>
      </c>
      <c r="G77" s="3" t="n">
        <v>4</v>
      </c>
      <c r="H77" s="3" t="n">
        <v>5</v>
      </c>
      <c r="I77" s="7">
        <f>AVERAGE(E77:H77)</f>
        <v/>
      </c>
      <c r="J77" s="4" t="inlineStr">
        <is>
          <t>Pilot evaluation verified</t>
        </is>
      </c>
    </row>
    <row r="78">
      <c r="A78" s="3" t="inlineStr">
        <is>
          <t>EV_076</t>
        </is>
      </c>
      <c r="B78" s="3" t="inlineStr">
        <is>
          <t>CASE_18</t>
        </is>
      </c>
      <c r="C78" s="3" t="inlineStr">
        <is>
          <t>CASE_18_B</t>
        </is>
      </c>
      <c r="D78" s="3" t="inlineStr">
        <is>
          <t>EVAL_02</t>
        </is>
      </c>
      <c r="E78" s="3" t="n">
        <v>3</v>
      </c>
      <c r="F78" s="3" t="n">
        <v>3</v>
      </c>
      <c r="G78" s="3" t="n">
        <v>4</v>
      </c>
      <c r="H78" s="3" t="n">
        <v>5</v>
      </c>
      <c r="I78" s="7">
        <f>AVERAGE(E78:H78)</f>
        <v/>
      </c>
      <c r="J78" s="4" t="inlineStr">
        <is>
          <t>Pilot evaluation verified</t>
        </is>
      </c>
    </row>
    <row r="79">
      <c r="A79" s="3" t="inlineStr">
        <is>
          <t>EV_077</t>
        </is>
      </c>
      <c r="B79" s="3" t="inlineStr">
        <is>
          <t>CASE_19</t>
        </is>
      </c>
      <c r="C79" s="3" t="inlineStr">
        <is>
          <t>CASE_19_A</t>
        </is>
      </c>
      <c r="D79" s="3" t="inlineStr">
        <is>
          <t>EVAL_02</t>
        </is>
      </c>
      <c r="E79" s="3" t="n">
        <v>4</v>
      </c>
      <c r="F79" s="3" t="n">
        <v>4</v>
      </c>
      <c r="G79" s="3" t="n">
        <v>4</v>
      </c>
      <c r="H79" s="3" t="n">
        <v>5</v>
      </c>
      <c r="I79" s="7">
        <f>AVERAGE(E79:H79)</f>
        <v/>
      </c>
      <c r="J79" s="4" t="inlineStr">
        <is>
          <t>Pilot evaluation verified</t>
        </is>
      </c>
    </row>
    <row r="80">
      <c r="A80" s="3" t="inlineStr">
        <is>
          <t>EV_078</t>
        </is>
      </c>
      <c r="B80" s="3" t="inlineStr">
        <is>
          <t>CASE_19</t>
        </is>
      </c>
      <c r="C80" s="3" t="inlineStr">
        <is>
          <t>CASE_19_B</t>
        </is>
      </c>
      <c r="D80" s="3" t="inlineStr">
        <is>
          <t>EVAL_02</t>
        </is>
      </c>
      <c r="E80" s="3" t="n">
        <v>4</v>
      </c>
      <c r="F80" s="3" t="n">
        <v>4</v>
      </c>
      <c r="G80" s="3" t="n">
        <v>3</v>
      </c>
      <c r="H80" s="3" t="n">
        <v>4</v>
      </c>
      <c r="I80" s="7">
        <f>AVERAGE(E80:H80)</f>
        <v/>
      </c>
      <c r="J80" s="4" t="inlineStr">
        <is>
          <t>Pilot evaluation verified</t>
        </is>
      </c>
    </row>
    <row r="81">
      <c r="A81" s="3" t="inlineStr">
        <is>
          <t>EV_079</t>
        </is>
      </c>
      <c r="B81" s="3" t="inlineStr">
        <is>
          <t>CASE_20</t>
        </is>
      </c>
      <c r="C81" s="3" t="inlineStr">
        <is>
          <t>CASE_20_A</t>
        </is>
      </c>
      <c r="D81" s="3" t="inlineStr">
        <is>
          <t>EVAL_02</t>
        </is>
      </c>
      <c r="E81" s="3" t="n">
        <v>4</v>
      </c>
      <c r="F81" s="3" t="n">
        <v>5</v>
      </c>
      <c r="G81" s="3" t="n">
        <v>5</v>
      </c>
      <c r="H81" s="3" t="n">
        <v>5</v>
      </c>
      <c r="I81" s="7">
        <f>AVERAGE(E81:H81)</f>
        <v/>
      </c>
      <c r="J81" s="4" t="inlineStr">
        <is>
          <t>Pilot evaluation verified</t>
        </is>
      </c>
    </row>
    <row r="82">
      <c r="A82" s="3" t="inlineStr">
        <is>
          <t>EV_080</t>
        </is>
      </c>
      <c r="B82" s="3" t="inlineStr">
        <is>
          <t>CASE_20</t>
        </is>
      </c>
      <c r="C82" s="3" t="inlineStr">
        <is>
          <t>CASE_20_B</t>
        </is>
      </c>
      <c r="D82" s="3" t="inlineStr">
        <is>
          <t>EVAL_02</t>
        </is>
      </c>
      <c r="E82" s="3" t="n">
        <v>3</v>
      </c>
      <c r="F82" s="3" t="n">
        <v>4</v>
      </c>
      <c r="G82" s="3" t="n">
        <v>4</v>
      </c>
      <c r="H82" s="3" t="n">
        <v>4</v>
      </c>
      <c r="I82" s="7">
        <f>AVERAGE(E82:H82)</f>
        <v/>
      </c>
      <c r="J82" s="4" t="inlineStr">
        <is>
          <t>Pilot evaluation verified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6" customWidth="1" min="3" max="3"/>
    <col width="16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24" customWidth="1" min="12" max="12"/>
    <col width="22" customWidth="1" min="13" max="13"/>
  </cols>
  <sheetData>
    <row r="1" ht="25" customHeight="1">
      <c r="A1" s="8" t="inlineStr">
        <is>
          <t>MASTER UNBLINDING KEY &amp; ANALYTICS DASHBOARD</t>
        </is>
      </c>
    </row>
    <row r="2" ht="30" customHeight="1">
      <c r="A2" s="9" t="inlineStr">
        <is>
          <t>Case ID</t>
        </is>
      </c>
      <c r="B2" s="9" t="inlineStr">
        <is>
          <t>Code Arm A</t>
        </is>
      </c>
      <c r="C2" s="9" t="inlineStr">
        <is>
          <t>System Arm A</t>
        </is>
      </c>
      <c r="D2" s="9" t="inlineStr">
        <is>
          <t>Code Arm B</t>
        </is>
      </c>
      <c r="E2" s="9" t="inlineStr">
        <is>
          <t>System Arm B</t>
        </is>
      </c>
      <c r="F2" s="9" t="inlineStr">
        <is>
          <t>Arm A Accuracy</t>
        </is>
      </c>
      <c r="G2" s="9" t="inlineStr">
        <is>
          <t>Arm B Accuracy</t>
        </is>
      </c>
      <c r="H2" s="9" t="inlineStr">
        <is>
          <t>Arm A Utility</t>
        </is>
      </c>
      <c r="I2" s="9" t="inlineStr">
        <is>
          <t>Arm B Utility</t>
        </is>
      </c>
      <c r="J2" s="9" t="inlineStr">
        <is>
          <t>Arm A Composite</t>
        </is>
      </c>
      <c r="K2" s="9" t="inlineStr">
        <is>
          <t>Arm B Composite</t>
        </is>
      </c>
      <c r="L2" s="9" t="inlineStr">
        <is>
          <t>Delta Composite (A - B)</t>
        </is>
      </c>
      <c r="M2" s="9" t="inlineStr">
        <is>
          <t>Advantage Status</t>
        </is>
      </c>
    </row>
    <row r="3">
      <c r="A3" s="3" t="inlineStr">
        <is>
          <t>CASE_01</t>
        </is>
      </c>
      <c r="B3" s="3" t="inlineStr">
        <is>
          <t>CASE_01_A</t>
        </is>
      </c>
      <c r="C3" s="4" t="inlineStr">
        <is>
          <t>DIINA (Model Under Test)</t>
        </is>
      </c>
      <c r="D3" s="3" t="inlineStr">
        <is>
          <t>CASE_01_B</t>
        </is>
      </c>
      <c r="E3" s="4" t="inlineStr">
        <is>
          <t>Baseline / Comparator</t>
        </is>
      </c>
      <c r="F3" s="10" t="inlineStr">
        <is>
          <t>Arm A – Dim 1 Accuracy</t>
        </is>
      </c>
      <c r="G3" s="10" t="inlineStr">
        <is>
          <t>Arm B – Dim 1 Accuracy</t>
        </is>
      </c>
      <c r="H3" s="10" t="inlineStr">
        <is>
          <t>Arm A – Dim 2 Pedagogy</t>
        </is>
      </c>
      <c r="I3" s="10" t="inlineStr">
        <is>
          <t>Arm B – Dim 2 Pedagogy</t>
        </is>
      </c>
      <c r="J3" s="10" t="inlineStr">
        <is>
          <t>Arm A Composite (Dims 1-4)</t>
        </is>
      </c>
      <c r="K3" s="10" t="inlineStr">
        <is>
          <t>Arm B Composite (Dims 1-4)</t>
        </is>
      </c>
      <c r="L3" s="11">
        <f>J3-K3</f>
        <v/>
      </c>
      <c r="M3" s="3">
        <f>IF(L3&gt;0, "DIINA Superior", IF(L3&lt;0, "Baseline Superior", "Equivalence"))</f>
        <v/>
      </c>
    </row>
    <row r="4">
      <c r="A4" s="3" t="inlineStr">
        <is>
          <t>CASE_02</t>
        </is>
      </c>
      <c r="B4" s="3" t="inlineStr">
        <is>
          <t>CASE_02_A</t>
        </is>
      </c>
      <c r="C4" s="4" t="inlineStr">
        <is>
          <t>DIINA (Model Under Test)</t>
        </is>
      </c>
      <c r="D4" s="3" t="inlineStr">
        <is>
          <t>CASE_02_B</t>
        </is>
      </c>
      <c r="E4" s="4" t="inlineStr">
        <is>
          <t>Baseline / Comparator</t>
        </is>
      </c>
      <c r="F4" s="10">
        <f>AVERAGEIF(Blinded_Evaluation_Sheet!$C$3:$C$82, B4, Blinded_Evaluation_Sheet!$E$3:$E$82)</f>
        <v/>
      </c>
      <c r="G4" s="10">
        <f>AVERAGEIF(Blinded_Evaluation_Sheet!$C$3:$C$82, D4, Blinded_Evaluation_Sheet!$E$3:$E$82)</f>
        <v/>
      </c>
      <c r="H4" s="10">
        <f>AVERAGEIF(Blinded_Evaluation_Sheet!$C$3:$C$82, B4, Blinded_Evaluation_Sheet!$F$3:$F$82)</f>
        <v/>
      </c>
      <c r="I4" s="10">
        <f>AVERAGEIF(Blinded_Evaluation_Sheet!$C$3:$C$82, D4, Blinded_Evaluation_Sheet!$F$3:$F$82)</f>
        <v/>
      </c>
      <c r="J4" s="10">
        <f>AVERAGEIF(Blinded_Evaluation_Sheet!$C$3:$C$82, B4, Blinded_Evaluation_Sheet!$I$3:$I$82)</f>
        <v/>
      </c>
      <c r="K4" s="10">
        <f>AVERAGEIF(Blinded_Evaluation_Sheet!$C$3:$C$82, D4, Blinded_Evaluation_Sheet!$I$3:$I$82)</f>
        <v/>
      </c>
      <c r="L4" s="11">
        <f>J4-K4</f>
        <v/>
      </c>
      <c r="M4" s="3">
        <f>IF(L4&gt;0, "DIINA Superior", IF(L4&lt;0, "Baseline Superior", "Equivalence"))</f>
        <v/>
      </c>
    </row>
    <row r="5">
      <c r="A5" s="3" t="inlineStr">
        <is>
          <t>CASE_03</t>
        </is>
      </c>
      <c r="B5" s="3" t="inlineStr">
        <is>
          <t>CASE_03_A</t>
        </is>
      </c>
      <c r="C5" s="4" t="inlineStr">
        <is>
          <t>DIINA (Model Under Test)</t>
        </is>
      </c>
      <c r="D5" s="3" t="inlineStr">
        <is>
          <t>CASE_03_B</t>
        </is>
      </c>
      <c r="E5" s="4" t="inlineStr">
        <is>
          <t>Baseline / Comparator</t>
        </is>
      </c>
      <c r="F5" s="10">
        <f>AVERAGEIF(Blinded_Evaluation_Sheet!$C$3:$C$82, B5, Blinded_Evaluation_Sheet!$E$3:$E$82)</f>
        <v/>
      </c>
      <c r="G5" s="10">
        <f>AVERAGEIF(Blinded_Evaluation_Sheet!$C$3:$C$82, D5, Blinded_Evaluation_Sheet!$E$3:$E$82)</f>
        <v/>
      </c>
      <c r="H5" s="10">
        <f>AVERAGEIF(Blinded_Evaluation_Sheet!$C$3:$C$82, B5, Blinded_Evaluation_Sheet!$F$3:$F$82)</f>
        <v/>
      </c>
      <c r="I5" s="10">
        <f>AVERAGEIF(Blinded_Evaluation_Sheet!$C$3:$C$82, D5, Blinded_Evaluation_Sheet!$F$3:$F$82)</f>
        <v/>
      </c>
      <c r="J5" s="10">
        <f>AVERAGEIF(Blinded_Evaluation_Sheet!$C$3:$C$82, B5, Blinded_Evaluation_Sheet!$I$3:$I$82)</f>
        <v/>
      </c>
      <c r="K5" s="10">
        <f>AVERAGEIF(Blinded_Evaluation_Sheet!$C$3:$C$82, D5, Blinded_Evaluation_Sheet!$I$3:$I$82)</f>
        <v/>
      </c>
      <c r="L5" s="11">
        <f>J5-K5</f>
        <v/>
      </c>
      <c r="M5" s="3">
        <f>IF(L5&gt;0, "DIINA Superior", IF(L5&lt;0, "Baseline Superior", "Equivalence"))</f>
        <v/>
      </c>
    </row>
    <row r="6">
      <c r="A6" s="3" t="inlineStr">
        <is>
          <t>CASE_04</t>
        </is>
      </c>
      <c r="B6" s="3" t="inlineStr">
        <is>
          <t>CASE_04_A</t>
        </is>
      </c>
      <c r="C6" s="4" t="inlineStr">
        <is>
          <t>DIINA (Model Under Test)</t>
        </is>
      </c>
      <c r="D6" s="3" t="inlineStr">
        <is>
          <t>CASE_04_B</t>
        </is>
      </c>
      <c r="E6" s="4" t="inlineStr">
        <is>
          <t>Baseline / Comparator</t>
        </is>
      </c>
      <c r="F6" s="10">
        <f>AVERAGEIF(Blinded_Evaluation_Sheet!$C$3:$C$82, B6, Blinded_Evaluation_Sheet!$E$3:$E$82)</f>
        <v/>
      </c>
      <c r="G6" s="10">
        <f>AVERAGEIF(Blinded_Evaluation_Sheet!$C$3:$C$82, D6, Blinded_Evaluation_Sheet!$E$3:$E$82)</f>
        <v/>
      </c>
      <c r="H6" s="10">
        <f>AVERAGEIF(Blinded_Evaluation_Sheet!$C$3:$C$82, B6, Blinded_Evaluation_Sheet!$F$3:$F$82)</f>
        <v/>
      </c>
      <c r="I6" s="10">
        <f>AVERAGEIF(Blinded_Evaluation_Sheet!$C$3:$C$82, D6, Blinded_Evaluation_Sheet!$F$3:$F$82)</f>
        <v/>
      </c>
      <c r="J6" s="10">
        <f>AVERAGEIF(Blinded_Evaluation_Sheet!$C$3:$C$82, B6, Blinded_Evaluation_Sheet!$I$3:$I$82)</f>
        <v/>
      </c>
      <c r="K6" s="10">
        <f>AVERAGEIF(Blinded_Evaluation_Sheet!$C$3:$C$82, D6, Blinded_Evaluation_Sheet!$I$3:$I$82)</f>
        <v/>
      </c>
      <c r="L6" s="11">
        <f>J6-K6</f>
        <v/>
      </c>
      <c r="M6" s="3">
        <f>IF(L6&gt;0, "DIINA Superior", IF(L6&lt;0, "Baseline Superior", "Equivalence"))</f>
        <v/>
      </c>
    </row>
    <row r="7">
      <c r="A7" s="3" t="inlineStr">
        <is>
          <t>CASE_05</t>
        </is>
      </c>
      <c r="B7" s="3" t="inlineStr">
        <is>
          <t>CASE_05_A</t>
        </is>
      </c>
      <c r="C7" s="4" t="inlineStr">
        <is>
          <t>DIINA (Model Under Test)</t>
        </is>
      </c>
      <c r="D7" s="3" t="inlineStr">
        <is>
          <t>CASE_05_B</t>
        </is>
      </c>
      <c r="E7" s="4" t="inlineStr">
        <is>
          <t>Baseline / Comparator</t>
        </is>
      </c>
      <c r="F7" s="10">
        <f>AVERAGEIF(Blinded_Evaluation_Sheet!$C$3:$C$82, B7, Blinded_Evaluation_Sheet!$E$3:$E$82)</f>
        <v/>
      </c>
      <c r="G7" s="10">
        <f>AVERAGEIF(Blinded_Evaluation_Sheet!$C$3:$C$82, D7, Blinded_Evaluation_Sheet!$E$3:$E$82)</f>
        <v/>
      </c>
      <c r="H7" s="10">
        <f>AVERAGEIF(Blinded_Evaluation_Sheet!$C$3:$C$82, B7, Blinded_Evaluation_Sheet!$F$3:$F$82)</f>
        <v/>
      </c>
      <c r="I7" s="10">
        <f>AVERAGEIF(Blinded_Evaluation_Sheet!$C$3:$C$82, D7, Blinded_Evaluation_Sheet!$F$3:$F$82)</f>
        <v/>
      </c>
      <c r="J7" s="10">
        <f>AVERAGEIF(Blinded_Evaluation_Sheet!$C$3:$C$82, B7, Blinded_Evaluation_Sheet!$I$3:$I$82)</f>
        <v/>
      </c>
      <c r="K7" s="10">
        <f>AVERAGEIF(Blinded_Evaluation_Sheet!$C$3:$C$82, D7, Blinded_Evaluation_Sheet!$I$3:$I$82)</f>
        <v/>
      </c>
      <c r="L7" s="11">
        <f>J7-K7</f>
        <v/>
      </c>
      <c r="M7" s="3">
        <f>IF(L7&gt;0, "DIINA Superior", IF(L7&lt;0, "Baseline Superior", "Equivalence"))</f>
        <v/>
      </c>
    </row>
    <row r="8">
      <c r="A8" s="3" t="inlineStr">
        <is>
          <t>CASE_06</t>
        </is>
      </c>
      <c r="B8" s="3" t="inlineStr">
        <is>
          <t>CASE_06_A</t>
        </is>
      </c>
      <c r="C8" s="4" t="inlineStr">
        <is>
          <t>DIINA (Model Under Test)</t>
        </is>
      </c>
      <c r="D8" s="3" t="inlineStr">
        <is>
          <t>CASE_06_B</t>
        </is>
      </c>
      <c r="E8" s="4" t="inlineStr">
        <is>
          <t>Baseline / Comparator</t>
        </is>
      </c>
      <c r="F8" s="10">
        <f>AVERAGEIF(Blinded_Evaluation_Sheet!$C$3:$C$82, B8, Blinded_Evaluation_Sheet!$E$3:$E$82)</f>
        <v/>
      </c>
      <c r="G8" s="10">
        <f>AVERAGEIF(Blinded_Evaluation_Sheet!$C$3:$C$82, D8, Blinded_Evaluation_Sheet!$E$3:$E$82)</f>
        <v/>
      </c>
      <c r="H8" s="10">
        <f>AVERAGEIF(Blinded_Evaluation_Sheet!$C$3:$C$82, B8, Blinded_Evaluation_Sheet!$F$3:$F$82)</f>
        <v/>
      </c>
      <c r="I8" s="10">
        <f>AVERAGEIF(Blinded_Evaluation_Sheet!$C$3:$C$82, D8, Blinded_Evaluation_Sheet!$F$3:$F$82)</f>
        <v/>
      </c>
      <c r="J8" s="10">
        <f>AVERAGEIF(Blinded_Evaluation_Sheet!$C$3:$C$82, B8, Blinded_Evaluation_Sheet!$I$3:$I$82)</f>
        <v/>
      </c>
      <c r="K8" s="10">
        <f>AVERAGEIF(Blinded_Evaluation_Sheet!$C$3:$C$82, D8, Blinded_Evaluation_Sheet!$I$3:$I$82)</f>
        <v/>
      </c>
      <c r="L8" s="11">
        <f>J8-K8</f>
        <v/>
      </c>
      <c r="M8" s="3">
        <f>IF(L8&gt;0, "DIINA Superior", IF(L8&lt;0, "Baseline Superior", "Equivalence"))</f>
        <v/>
      </c>
    </row>
    <row r="9">
      <c r="A9" s="3" t="inlineStr">
        <is>
          <t>CASE_07</t>
        </is>
      </c>
      <c r="B9" s="3" t="inlineStr">
        <is>
          <t>CASE_07_A</t>
        </is>
      </c>
      <c r="C9" s="4" t="inlineStr">
        <is>
          <t>DIINA (Model Under Test)</t>
        </is>
      </c>
      <c r="D9" s="3" t="inlineStr">
        <is>
          <t>CASE_07_B</t>
        </is>
      </c>
      <c r="E9" s="4" t="inlineStr">
        <is>
          <t>Baseline / Comparator</t>
        </is>
      </c>
      <c r="F9" s="10">
        <f>AVERAGEIF(Blinded_Evaluation_Sheet!$C$3:$C$82, B9, Blinded_Evaluation_Sheet!$E$3:$E$82)</f>
        <v/>
      </c>
      <c r="G9" s="10">
        <f>AVERAGEIF(Blinded_Evaluation_Sheet!$C$3:$C$82, D9, Blinded_Evaluation_Sheet!$E$3:$E$82)</f>
        <v/>
      </c>
      <c r="H9" s="10">
        <f>AVERAGEIF(Blinded_Evaluation_Sheet!$C$3:$C$82, B9, Blinded_Evaluation_Sheet!$F$3:$F$82)</f>
        <v/>
      </c>
      <c r="I9" s="10">
        <f>AVERAGEIF(Blinded_Evaluation_Sheet!$C$3:$C$82, D9, Blinded_Evaluation_Sheet!$F$3:$F$82)</f>
        <v/>
      </c>
      <c r="J9" s="10">
        <f>AVERAGEIF(Blinded_Evaluation_Sheet!$C$3:$C$82, B9, Blinded_Evaluation_Sheet!$I$3:$I$82)</f>
        <v/>
      </c>
      <c r="K9" s="10">
        <f>AVERAGEIF(Blinded_Evaluation_Sheet!$C$3:$C$82, D9, Blinded_Evaluation_Sheet!$I$3:$I$82)</f>
        <v/>
      </c>
      <c r="L9" s="11">
        <f>J9-K9</f>
        <v/>
      </c>
      <c r="M9" s="3">
        <f>IF(L9&gt;0, "DIINA Superior", IF(L9&lt;0, "Baseline Superior", "Equivalence"))</f>
        <v/>
      </c>
    </row>
    <row r="10">
      <c r="A10" s="3" t="inlineStr">
        <is>
          <t>CASE_08</t>
        </is>
      </c>
      <c r="B10" s="3" t="inlineStr">
        <is>
          <t>CASE_08_A</t>
        </is>
      </c>
      <c r="C10" s="4" t="inlineStr">
        <is>
          <t>DIINA (Model Under Test)</t>
        </is>
      </c>
      <c r="D10" s="3" t="inlineStr">
        <is>
          <t>CASE_08_B</t>
        </is>
      </c>
      <c r="E10" s="4" t="inlineStr">
        <is>
          <t>Baseline / Comparator</t>
        </is>
      </c>
      <c r="F10" s="10">
        <f>AVERAGEIF(Blinded_Evaluation_Sheet!$C$3:$C$82, B10, Blinded_Evaluation_Sheet!$E$3:$E$82)</f>
        <v/>
      </c>
      <c r="G10" s="10">
        <f>AVERAGEIF(Blinded_Evaluation_Sheet!$C$3:$C$82, D10, Blinded_Evaluation_Sheet!$E$3:$E$82)</f>
        <v/>
      </c>
      <c r="H10" s="10">
        <f>AVERAGEIF(Blinded_Evaluation_Sheet!$C$3:$C$82, B10, Blinded_Evaluation_Sheet!$F$3:$F$82)</f>
        <v/>
      </c>
      <c r="I10" s="10">
        <f>AVERAGEIF(Blinded_Evaluation_Sheet!$C$3:$C$82, D10, Blinded_Evaluation_Sheet!$F$3:$F$82)</f>
        <v/>
      </c>
      <c r="J10" s="10">
        <f>AVERAGEIF(Blinded_Evaluation_Sheet!$C$3:$C$82, B10, Blinded_Evaluation_Sheet!$I$3:$I$82)</f>
        <v/>
      </c>
      <c r="K10" s="10">
        <f>AVERAGEIF(Blinded_Evaluation_Sheet!$C$3:$C$82, D10, Blinded_Evaluation_Sheet!$I$3:$I$82)</f>
        <v/>
      </c>
      <c r="L10" s="11">
        <f>J10-K10</f>
        <v/>
      </c>
      <c r="M10" s="3">
        <f>IF(L10&gt;0, "DIINA Superior", IF(L10&lt;0, "Baseline Superior", "Equivalence"))</f>
        <v/>
      </c>
    </row>
    <row r="11">
      <c r="A11" s="3" t="inlineStr">
        <is>
          <t>CASE_09</t>
        </is>
      </c>
      <c r="B11" s="3" t="inlineStr">
        <is>
          <t>CASE_09_A</t>
        </is>
      </c>
      <c r="C11" s="4" t="inlineStr">
        <is>
          <t>DIINA (Model Under Test)</t>
        </is>
      </c>
      <c r="D11" s="3" t="inlineStr">
        <is>
          <t>CASE_09_B</t>
        </is>
      </c>
      <c r="E11" s="4" t="inlineStr">
        <is>
          <t>Baseline / Comparator</t>
        </is>
      </c>
      <c r="F11" s="10">
        <f>AVERAGEIF(Blinded_Evaluation_Sheet!$C$3:$C$82, B11, Blinded_Evaluation_Sheet!$E$3:$E$82)</f>
        <v/>
      </c>
      <c r="G11" s="10">
        <f>AVERAGEIF(Blinded_Evaluation_Sheet!$C$3:$C$82, D11, Blinded_Evaluation_Sheet!$E$3:$E$82)</f>
        <v/>
      </c>
      <c r="H11" s="10">
        <f>AVERAGEIF(Blinded_Evaluation_Sheet!$C$3:$C$82, B11, Blinded_Evaluation_Sheet!$F$3:$F$82)</f>
        <v/>
      </c>
      <c r="I11" s="10">
        <f>AVERAGEIF(Blinded_Evaluation_Sheet!$C$3:$C$82, D11, Blinded_Evaluation_Sheet!$F$3:$F$82)</f>
        <v/>
      </c>
      <c r="J11" s="10">
        <f>AVERAGEIF(Blinded_Evaluation_Sheet!$C$3:$C$82, B11, Blinded_Evaluation_Sheet!$I$3:$I$82)</f>
        <v/>
      </c>
      <c r="K11" s="10">
        <f>AVERAGEIF(Blinded_Evaluation_Sheet!$C$3:$C$82, D11, Blinded_Evaluation_Sheet!$I$3:$I$82)</f>
        <v/>
      </c>
      <c r="L11" s="11">
        <f>J11-K11</f>
        <v/>
      </c>
      <c r="M11" s="3">
        <f>IF(L11&gt;0, "DIINA Superior", IF(L11&lt;0, "Baseline Superior", "Equivalence"))</f>
        <v/>
      </c>
    </row>
    <row r="12">
      <c r="A12" s="3" t="inlineStr">
        <is>
          <t>CASE_10</t>
        </is>
      </c>
      <c r="B12" s="3" t="inlineStr">
        <is>
          <t>CASE_10_A</t>
        </is>
      </c>
      <c r="C12" s="4" t="inlineStr">
        <is>
          <t>DIINA (Model Under Test)</t>
        </is>
      </c>
      <c r="D12" s="3" t="inlineStr">
        <is>
          <t>CASE_10_B</t>
        </is>
      </c>
      <c r="E12" s="4" t="inlineStr">
        <is>
          <t>Baseline / Comparator</t>
        </is>
      </c>
      <c r="F12" s="10">
        <f>AVERAGEIF(Blinded_Evaluation_Sheet!$C$3:$C$82, B12, Blinded_Evaluation_Sheet!$E$3:$E$82)</f>
        <v/>
      </c>
      <c r="G12" s="10">
        <f>AVERAGEIF(Blinded_Evaluation_Sheet!$C$3:$C$82, D12, Blinded_Evaluation_Sheet!$E$3:$E$82)</f>
        <v/>
      </c>
      <c r="H12" s="10">
        <f>AVERAGEIF(Blinded_Evaluation_Sheet!$C$3:$C$82, B12, Blinded_Evaluation_Sheet!$F$3:$F$82)</f>
        <v/>
      </c>
      <c r="I12" s="10">
        <f>AVERAGEIF(Blinded_Evaluation_Sheet!$C$3:$C$82, D12, Blinded_Evaluation_Sheet!$F$3:$F$82)</f>
        <v/>
      </c>
      <c r="J12" s="10">
        <f>AVERAGEIF(Blinded_Evaluation_Sheet!$C$3:$C$82, B12, Blinded_Evaluation_Sheet!$I$3:$I$82)</f>
        <v/>
      </c>
      <c r="K12" s="10">
        <f>AVERAGEIF(Blinded_Evaluation_Sheet!$C$3:$C$82, D12, Blinded_Evaluation_Sheet!$I$3:$I$82)</f>
        <v/>
      </c>
      <c r="L12" s="11">
        <f>J12-K12</f>
        <v/>
      </c>
      <c r="M12" s="3">
        <f>IF(L12&gt;0, "DIINA Superior", IF(L12&lt;0, "Baseline Superior", "Equivalence"))</f>
        <v/>
      </c>
    </row>
    <row r="13">
      <c r="A13" s="3" t="inlineStr">
        <is>
          <t>CASE_11</t>
        </is>
      </c>
      <c r="B13" s="3" t="inlineStr">
        <is>
          <t>CASE_11_A</t>
        </is>
      </c>
      <c r="C13" s="4" t="inlineStr">
        <is>
          <t>DIINA (Model Under Test)</t>
        </is>
      </c>
      <c r="D13" s="3" t="inlineStr">
        <is>
          <t>CASE_11_B</t>
        </is>
      </c>
      <c r="E13" s="4" t="inlineStr">
        <is>
          <t>Baseline / Comparator</t>
        </is>
      </c>
      <c r="F13" s="10">
        <f>AVERAGEIF(Blinded_Evaluation_Sheet!$C$3:$C$82, B13, Blinded_Evaluation_Sheet!$E$3:$E$82)</f>
        <v/>
      </c>
      <c r="G13" s="10">
        <f>AVERAGEIF(Blinded_Evaluation_Sheet!$C$3:$C$82, D13, Blinded_Evaluation_Sheet!$E$3:$E$82)</f>
        <v/>
      </c>
      <c r="H13" s="10">
        <f>AVERAGEIF(Blinded_Evaluation_Sheet!$C$3:$C$82, B13, Blinded_Evaluation_Sheet!$F$3:$F$82)</f>
        <v/>
      </c>
      <c r="I13" s="10">
        <f>AVERAGEIF(Blinded_Evaluation_Sheet!$C$3:$C$82, D13, Blinded_Evaluation_Sheet!$F$3:$F$82)</f>
        <v/>
      </c>
      <c r="J13" s="10">
        <f>AVERAGEIF(Blinded_Evaluation_Sheet!$C$3:$C$82, B13, Blinded_Evaluation_Sheet!$I$3:$I$82)</f>
        <v/>
      </c>
      <c r="K13" s="10">
        <f>AVERAGEIF(Blinded_Evaluation_Sheet!$C$3:$C$82, D13, Blinded_Evaluation_Sheet!$I$3:$I$82)</f>
        <v/>
      </c>
      <c r="L13" s="11">
        <f>J13-K13</f>
        <v/>
      </c>
      <c r="M13" s="3">
        <f>IF(L13&gt;0, "DIINA Superior", IF(L13&lt;0, "Baseline Superior", "Equivalence"))</f>
        <v/>
      </c>
    </row>
    <row r="14">
      <c r="A14" s="3" t="inlineStr">
        <is>
          <t>CASE_12</t>
        </is>
      </c>
      <c r="B14" s="3" t="inlineStr">
        <is>
          <t>CASE_12_A</t>
        </is>
      </c>
      <c r="C14" s="4" t="inlineStr">
        <is>
          <t>DIINA (Model Under Test)</t>
        </is>
      </c>
      <c r="D14" s="3" t="inlineStr">
        <is>
          <t>CASE_12_B</t>
        </is>
      </c>
      <c r="E14" s="4" t="inlineStr">
        <is>
          <t>Baseline / Comparator</t>
        </is>
      </c>
      <c r="F14" s="10">
        <f>AVERAGEIF(Blinded_Evaluation_Sheet!$C$3:$C$82, B14, Blinded_Evaluation_Sheet!$E$3:$E$82)</f>
        <v/>
      </c>
      <c r="G14" s="10">
        <f>AVERAGEIF(Blinded_Evaluation_Sheet!$C$3:$C$82, D14, Blinded_Evaluation_Sheet!$E$3:$E$82)</f>
        <v/>
      </c>
      <c r="H14" s="10">
        <f>AVERAGEIF(Blinded_Evaluation_Sheet!$C$3:$C$82, B14, Blinded_Evaluation_Sheet!$F$3:$F$82)</f>
        <v/>
      </c>
      <c r="I14" s="10">
        <f>AVERAGEIF(Blinded_Evaluation_Sheet!$C$3:$C$82, D14, Blinded_Evaluation_Sheet!$F$3:$F$82)</f>
        <v/>
      </c>
      <c r="J14" s="10">
        <f>AVERAGEIF(Blinded_Evaluation_Sheet!$C$3:$C$82, B14, Blinded_Evaluation_Sheet!$I$3:$I$82)</f>
        <v/>
      </c>
      <c r="K14" s="10">
        <f>AVERAGEIF(Blinded_Evaluation_Sheet!$C$3:$C$82, D14, Blinded_Evaluation_Sheet!$I$3:$I$82)</f>
        <v/>
      </c>
      <c r="L14" s="11">
        <f>J14-K14</f>
        <v/>
      </c>
      <c r="M14" s="3">
        <f>IF(L14&gt;0, "DIINA Superior", IF(L14&lt;0, "Baseline Superior", "Equivalence"))</f>
        <v/>
      </c>
    </row>
    <row r="15">
      <c r="A15" s="3" t="inlineStr">
        <is>
          <t>CASE_13</t>
        </is>
      </c>
      <c r="B15" s="3" t="inlineStr">
        <is>
          <t>CASE_13_A</t>
        </is>
      </c>
      <c r="C15" s="4" t="inlineStr">
        <is>
          <t>DIINA (Model Under Test)</t>
        </is>
      </c>
      <c r="D15" s="3" t="inlineStr">
        <is>
          <t>CASE_13_B</t>
        </is>
      </c>
      <c r="E15" s="4" t="inlineStr">
        <is>
          <t>Baseline / Comparator</t>
        </is>
      </c>
      <c r="F15" s="10">
        <f>AVERAGEIF(Blinded_Evaluation_Sheet!$C$3:$C$82, B15, Blinded_Evaluation_Sheet!$E$3:$E$82)</f>
        <v/>
      </c>
      <c r="G15" s="10">
        <f>AVERAGEIF(Blinded_Evaluation_Sheet!$C$3:$C$82, D15, Blinded_Evaluation_Sheet!$E$3:$E$82)</f>
        <v/>
      </c>
      <c r="H15" s="10">
        <f>AVERAGEIF(Blinded_Evaluation_Sheet!$C$3:$C$82, B15, Blinded_Evaluation_Sheet!$F$3:$F$82)</f>
        <v/>
      </c>
      <c r="I15" s="10">
        <f>AVERAGEIF(Blinded_Evaluation_Sheet!$C$3:$C$82, D15, Blinded_Evaluation_Sheet!$F$3:$F$82)</f>
        <v/>
      </c>
      <c r="J15" s="10">
        <f>AVERAGEIF(Blinded_Evaluation_Sheet!$C$3:$C$82, B15, Blinded_Evaluation_Sheet!$I$3:$I$82)</f>
        <v/>
      </c>
      <c r="K15" s="10">
        <f>AVERAGEIF(Blinded_Evaluation_Sheet!$C$3:$C$82, D15, Blinded_Evaluation_Sheet!$I$3:$I$82)</f>
        <v/>
      </c>
      <c r="L15" s="11">
        <f>J15-K15</f>
        <v/>
      </c>
      <c r="M15" s="3">
        <f>IF(L15&gt;0, "DIINA Superior", IF(L15&lt;0, "Baseline Superior", "Equivalence"))</f>
        <v/>
      </c>
    </row>
    <row r="16">
      <c r="A16" s="3" t="inlineStr">
        <is>
          <t>CASE_14</t>
        </is>
      </c>
      <c r="B16" s="3" t="inlineStr">
        <is>
          <t>CASE_14_A</t>
        </is>
      </c>
      <c r="C16" s="4" t="inlineStr">
        <is>
          <t>DIINA (Model Under Test)</t>
        </is>
      </c>
      <c r="D16" s="3" t="inlineStr">
        <is>
          <t>CASE_14_B</t>
        </is>
      </c>
      <c r="E16" s="4" t="inlineStr">
        <is>
          <t>Baseline / Comparator</t>
        </is>
      </c>
      <c r="F16" s="10">
        <f>AVERAGEIF(Blinded_Evaluation_Sheet!$C$3:$C$82, B16, Blinded_Evaluation_Sheet!$E$3:$E$82)</f>
        <v/>
      </c>
      <c r="G16" s="10">
        <f>AVERAGEIF(Blinded_Evaluation_Sheet!$C$3:$C$82, D16, Blinded_Evaluation_Sheet!$E$3:$E$82)</f>
        <v/>
      </c>
      <c r="H16" s="10">
        <f>AVERAGEIF(Blinded_Evaluation_Sheet!$C$3:$C$82, B16, Blinded_Evaluation_Sheet!$F$3:$F$82)</f>
        <v/>
      </c>
      <c r="I16" s="10">
        <f>AVERAGEIF(Blinded_Evaluation_Sheet!$C$3:$C$82, D16, Blinded_Evaluation_Sheet!$F$3:$F$82)</f>
        <v/>
      </c>
      <c r="J16" s="10">
        <f>AVERAGEIF(Blinded_Evaluation_Sheet!$C$3:$C$82, B16, Blinded_Evaluation_Sheet!$I$3:$I$82)</f>
        <v/>
      </c>
      <c r="K16" s="10">
        <f>AVERAGEIF(Blinded_Evaluation_Sheet!$C$3:$C$82, D16, Blinded_Evaluation_Sheet!$I$3:$I$82)</f>
        <v/>
      </c>
      <c r="L16" s="11">
        <f>J16-K16</f>
        <v/>
      </c>
      <c r="M16" s="3">
        <f>IF(L16&gt;0, "DIINA Superior", IF(L16&lt;0, "Baseline Superior", "Equivalence"))</f>
        <v/>
      </c>
    </row>
    <row r="17">
      <c r="A17" s="3" t="inlineStr">
        <is>
          <t>CASE_15</t>
        </is>
      </c>
      <c r="B17" s="3" t="inlineStr">
        <is>
          <t>CASE_15_A</t>
        </is>
      </c>
      <c r="C17" s="4" t="inlineStr">
        <is>
          <t>DIINA (Model Under Test)</t>
        </is>
      </c>
      <c r="D17" s="3" t="inlineStr">
        <is>
          <t>CASE_15_B</t>
        </is>
      </c>
      <c r="E17" s="4" t="inlineStr">
        <is>
          <t>Baseline / Comparator</t>
        </is>
      </c>
      <c r="F17" s="10">
        <f>AVERAGEIF(Blinded_Evaluation_Sheet!$C$3:$C$82, B17, Blinded_Evaluation_Sheet!$E$3:$E$82)</f>
        <v/>
      </c>
      <c r="G17" s="10">
        <f>AVERAGEIF(Blinded_Evaluation_Sheet!$C$3:$C$82, D17, Blinded_Evaluation_Sheet!$E$3:$E$82)</f>
        <v/>
      </c>
      <c r="H17" s="10">
        <f>AVERAGEIF(Blinded_Evaluation_Sheet!$C$3:$C$82, B17, Blinded_Evaluation_Sheet!$F$3:$F$82)</f>
        <v/>
      </c>
      <c r="I17" s="10">
        <f>AVERAGEIF(Blinded_Evaluation_Sheet!$C$3:$C$82, D17, Blinded_Evaluation_Sheet!$F$3:$F$82)</f>
        <v/>
      </c>
      <c r="J17" s="10">
        <f>AVERAGEIF(Blinded_Evaluation_Sheet!$C$3:$C$82, B17, Blinded_Evaluation_Sheet!$I$3:$I$82)</f>
        <v/>
      </c>
      <c r="K17" s="10">
        <f>AVERAGEIF(Blinded_Evaluation_Sheet!$C$3:$C$82, D17, Blinded_Evaluation_Sheet!$I$3:$I$82)</f>
        <v/>
      </c>
      <c r="L17" s="11">
        <f>J17-K17</f>
        <v/>
      </c>
      <c r="M17" s="3">
        <f>IF(L17&gt;0, "DIINA Superior", IF(L17&lt;0, "Baseline Superior", "Equivalence"))</f>
        <v/>
      </c>
    </row>
    <row r="18">
      <c r="A18" s="3" t="inlineStr">
        <is>
          <t>CASE_16</t>
        </is>
      </c>
      <c r="B18" s="3" t="inlineStr">
        <is>
          <t>CASE_16_A</t>
        </is>
      </c>
      <c r="C18" s="4" t="inlineStr">
        <is>
          <t>DIINA (Model Under Test)</t>
        </is>
      </c>
      <c r="D18" s="3" t="inlineStr">
        <is>
          <t>CASE_16_B</t>
        </is>
      </c>
      <c r="E18" s="4" t="inlineStr">
        <is>
          <t>Baseline / Comparator</t>
        </is>
      </c>
      <c r="F18" s="10">
        <f>AVERAGEIF(Blinded_Evaluation_Sheet!$C$3:$C$82, B18, Blinded_Evaluation_Sheet!$E$3:$E$82)</f>
        <v/>
      </c>
      <c r="G18" s="10">
        <f>AVERAGEIF(Blinded_Evaluation_Sheet!$C$3:$C$82, D18, Blinded_Evaluation_Sheet!$E$3:$E$82)</f>
        <v/>
      </c>
      <c r="H18" s="10">
        <f>AVERAGEIF(Blinded_Evaluation_Sheet!$C$3:$C$82, B18, Blinded_Evaluation_Sheet!$F$3:$F$82)</f>
        <v/>
      </c>
      <c r="I18" s="10">
        <f>AVERAGEIF(Blinded_Evaluation_Sheet!$C$3:$C$82, D18, Blinded_Evaluation_Sheet!$F$3:$F$82)</f>
        <v/>
      </c>
      <c r="J18" s="10">
        <f>AVERAGEIF(Blinded_Evaluation_Sheet!$C$3:$C$82, B18, Blinded_Evaluation_Sheet!$I$3:$I$82)</f>
        <v/>
      </c>
      <c r="K18" s="10">
        <f>AVERAGEIF(Blinded_Evaluation_Sheet!$C$3:$C$82, D18, Blinded_Evaluation_Sheet!$I$3:$I$82)</f>
        <v/>
      </c>
      <c r="L18" s="11">
        <f>J18-K18</f>
        <v/>
      </c>
      <c r="M18" s="3">
        <f>IF(L18&gt;0, "DIINA Superior", IF(L18&lt;0, "Baseline Superior", "Equivalence"))</f>
        <v/>
      </c>
    </row>
    <row r="19">
      <c r="A19" s="3" t="inlineStr">
        <is>
          <t>CASE_17</t>
        </is>
      </c>
      <c r="B19" s="3" t="inlineStr">
        <is>
          <t>CASE_17_A</t>
        </is>
      </c>
      <c r="C19" s="4" t="inlineStr">
        <is>
          <t>DIINA (Model Under Test)</t>
        </is>
      </c>
      <c r="D19" s="3" t="inlineStr">
        <is>
          <t>CASE_17_B</t>
        </is>
      </c>
      <c r="E19" s="4" t="inlineStr">
        <is>
          <t>Baseline / Comparator</t>
        </is>
      </c>
      <c r="F19" s="10">
        <f>AVERAGEIF(Blinded_Evaluation_Sheet!$C$3:$C$82, B19, Blinded_Evaluation_Sheet!$E$3:$E$82)</f>
        <v/>
      </c>
      <c r="G19" s="10">
        <f>AVERAGEIF(Blinded_Evaluation_Sheet!$C$3:$C$82, D19, Blinded_Evaluation_Sheet!$E$3:$E$82)</f>
        <v/>
      </c>
      <c r="H19" s="10">
        <f>AVERAGEIF(Blinded_Evaluation_Sheet!$C$3:$C$82, B19, Blinded_Evaluation_Sheet!$F$3:$F$82)</f>
        <v/>
      </c>
      <c r="I19" s="10">
        <f>AVERAGEIF(Blinded_Evaluation_Sheet!$C$3:$C$82, D19, Blinded_Evaluation_Sheet!$F$3:$F$82)</f>
        <v/>
      </c>
      <c r="J19" s="10">
        <f>AVERAGEIF(Blinded_Evaluation_Sheet!$C$3:$C$82, B19, Blinded_Evaluation_Sheet!$I$3:$I$82)</f>
        <v/>
      </c>
      <c r="K19" s="10">
        <f>AVERAGEIF(Blinded_Evaluation_Sheet!$C$3:$C$82, D19, Blinded_Evaluation_Sheet!$I$3:$I$82)</f>
        <v/>
      </c>
      <c r="L19" s="11">
        <f>J19-K19</f>
        <v/>
      </c>
      <c r="M19" s="3">
        <f>IF(L19&gt;0, "DIINA Superior", IF(L19&lt;0, "Baseline Superior", "Equivalence"))</f>
        <v/>
      </c>
    </row>
    <row r="20">
      <c r="A20" s="3" t="inlineStr">
        <is>
          <t>CASE_18</t>
        </is>
      </c>
      <c r="B20" s="3" t="inlineStr">
        <is>
          <t>CASE_18_A</t>
        </is>
      </c>
      <c r="C20" s="4" t="inlineStr">
        <is>
          <t>DIINA (Model Under Test)</t>
        </is>
      </c>
      <c r="D20" s="3" t="inlineStr">
        <is>
          <t>CASE_18_B</t>
        </is>
      </c>
      <c r="E20" s="4" t="inlineStr">
        <is>
          <t>Baseline / Comparator</t>
        </is>
      </c>
      <c r="F20" s="10">
        <f>AVERAGEIF(Blinded_Evaluation_Sheet!$C$3:$C$82, B20, Blinded_Evaluation_Sheet!$E$3:$E$82)</f>
        <v/>
      </c>
      <c r="G20" s="10">
        <f>AVERAGEIF(Blinded_Evaluation_Sheet!$C$3:$C$82, D20, Blinded_Evaluation_Sheet!$E$3:$E$82)</f>
        <v/>
      </c>
      <c r="H20" s="10">
        <f>AVERAGEIF(Blinded_Evaluation_Sheet!$C$3:$C$82, B20, Blinded_Evaluation_Sheet!$F$3:$F$82)</f>
        <v/>
      </c>
      <c r="I20" s="10">
        <f>AVERAGEIF(Blinded_Evaluation_Sheet!$C$3:$C$82, D20, Blinded_Evaluation_Sheet!$F$3:$F$82)</f>
        <v/>
      </c>
      <c r="J20" s="10">
        <f>AVERAGEIF(Blinded_Evaluation_Sheet!$C$3:$C$82, B20, Blinded_Evaluation_Sheet!$I$3:$I$82)</f>
        <v/>
      </c>
      <c r="K20" s="10">
        <f>AVERAGEIF(Blinded_Evaluation_Sheet!$C$3:$C$82, D20, Blinded_Evaluation_Sheet!$I$3:$I$82)</f>
        <v/>
      </c>
      <c r="L20" s="11">
        <f>J20-K20</f>
        <v/>
      </c>
      <c r="M20" s="3">
        <f>IF(L20&gt;0, "DIINA Superior", IF(L20&lt;0, "Baseline Superior", "Equivalence"))</f>
        <v/>
      </c>
    </row>
    <row r="21">
      <c r="A21" s="3" t="inlineStr">
        <is>
          <t>CASE_19</t>
        </is>
      </c>
      <c r="B21" s="3" t="inlineStr">
        <is>
          <t>CASE_19_A</t>
        </is>
      </c>
      <c r="C21" s="4" t="inlineStr">
        <is>
          <t>DIINA (Model Under Test)</t>
        </is>
      </c>
      <c r="D21" s="3" t="inlineStr">
        <is>
          <t>CASE_19_B</t>
        </is>
      </c>
      <c r="E21" s="4" t="inlineStr">
        <is>
          <t>Baseline / Comparator</t>
        </is>
      </c>
      <c r="F21" s="10">
        <f>AVERAGEIF(Blinded_Evaluation_Sheet!$C$3:$C$82, B21, Blinded_Evaluation_Sheet!$E$3:$E$82)</f>
        <v/>
      </c>
      <c r="G21" s="10">
        <f>AVERAGEIF(Blinded_Evaluation_Sheet!$C$3:$C$82, D21, Blinded_Evaluation_Sheet!$E$3:$E$82)</f>
        <v/>
      </c>
      <c r="H21" s="10">
        <f>AVERAGEIF(Blinded_Evaluation_Sheet!$C$3:$C$82, B21, Blinded_Evaluation_Sheet!$F$3:$F$82)</f>
        <v/>
      </c>
      <c r="I21" s="10">
        <f>AVERAGEIF(Blinded_Evaluation_Sheet!$C$3:$C$82, D21, Blinded_Evaluation_Sheet!$F$3:$F$82)</f>
        <v/>
      </c>
      <c r="J21" s="10">
        <f>AVERAGEIF(Blinded_Evaluation_Sheet!$C$3:$C$82, B21, Blinded_Evaluation_Sheet!$I$3:$I$82)</f>
        <v/>
      </c>
      <c r="K21" s="10">
        <f>AVERAGEIF(Blinded_Evaluation_Sheet!$C$3:$C$82, D21, Blinded_Evaluation_Sheet!$I$3:$I$82)</f>
        <v/>
      </c>
      <c r="L21" s="11">
        <f>J21-K21</f>
        <v/>
      </c>
      <c r="M21" s="3">
        <f>IF(L21&gt;0, "DIINA Superior", IF(L21&lt;0, "Baseline Superior", "Equivalence"))</f>
        <v/>
      </c>
    </row>
    <row r="22">
      <c r="A22" s="3" t="inlineStr">
        <is>
          <t>CASE_20</t>
        </is>
      </c>
      <c r="B22" s="3" t="inlineStr">
        <is>
          <t>CASE_20_A</t>
        </is>
      </c>
      <c r="C22" s="4" t="inlineStr">
        <is>
          <t>DIINA (Model Under Test)</t>
        </is>
      </c>
      <c r="D22" s="3" t="inlineStr">
        <is>
          <t>CASE_20_B</t>
        </is>
      </c>
      <c r="E22" s="4" t="inlineStr">
        <is>
          <t>Baseline / Comparator</t>
        </is>
      </c>
      <c r="F22" s="10">
        <f>AVERAGEIF(Blinded_Evaluation_Sheet!$C$3:$C$82, B22, Blinded_Evaluation_Sheet!$E$3:$E$82)</f>
        <v/>
      </c>
      <c r="G22" s="10">
        <f>AVERAGEIF(Blinded_Evaluation_Sheet!$C$3:$C$82, D22, Blinded_Evaluation_Sheet!$E$3:$E$82)</f>
        <v/>
      </c>
      <c r="H22" s="10">
        <f>AVERAGEIF(Blinded_Evaluation_Sheet!$C$3:$C$82, B22, Blinded_Evaluation_Sheet!$F$3:$F$82)</f>
        <v/>
      </c>
      <c r="I22" s="10">
        <f>AVERAGEIF(Blinded_Evaluation_Sheet!$C$3:$C$82, D22, Blinded_Evaluation_Sheet!$F$3:$F$82)</f>
        <v/>
      </c>
      <c r="J22" s="10">
        <f>AVERAGEIF(Blinded_Evaluation_Sheet!$C$3:$C$82, B22, Blinded_Evaluation_Sheet!$I$3:$I$82)</f>
        <v/>
      </c>
      <c r="K22" s="10">
        <f>AVERAGEIF(Blinded_Evaluation_Sheet!$C$3:$C$82, D22, Blinded_Evaluation_Sheet!$I$3:$I$82)</f>
        <v/>
      </c>
      <c r="L22" s="11">
        <f>J22-K22</f>
        <v/>
      </c>
      <c r="M22" s="3">
        <f>IF(L22&gt;0, "DIINA Superior", IF(L22&lt;0, "Baseline Superior", "Equivalence"))</f>
        <v/>
      </c>
    </row>
    <row r="23">
      <c r="A23" s="12" t="inlineStr">
        <is>
          <t>OVERALL AVERAGE</t>
        </is>
      </c>
      <c r="F23" s="13">
        <f>AVERAGE(F3:F22)</f>
        <v/>
      </c>
      <c r="G23" s="13">
        <f>AVERAGE(G3:G22)</f>
        <v/>
      </c>
      <c r="H23" s="13">
        <f>AVERAGE(H3:H22)</f>
        <v/>
      </c>
      <c r="I23" s="13">
        <f>AVERAGE(I3:I22)</f>
        <v/>
      </c>
      <c r="J23" s="13">
        <f>AVERAGE(J3:J22)</f>
        <v/>
      </c>
      <c r="K23" s="13">
        <f>AVERAGE(K3:K22)</f>
        <v/>
      </c>
      <c r="L23" s="13">
        <f>AVERAGE(L3:L22)</f>
        <v/>
      </c>
      <c r="M23" s="14">
        <f>IF(L23&gt;0, "DIINA Outperforms Overall", "Baseline Parity/Superior")</f>
        <v/>
      </c>
    </row>
    <row r="26">
      <c r="B26" s="15" t="inlineStr">
        <is>
          <t>PILOT STUDY KPI SUMMARY METRICS</t>
        </is>
      </c>
    </row>
    <row r="27">
      <c r="B27" s="16" t="inlineStr">
        <is>
          <t>Arm A (DIINA) Mean Composite Score</t>
        </is>
      </c>
      <c r="C27" s="17" t="n"/>
      <c r="D27" s="18" t="n"/>
      <c r="E27" s="19">
        <f>AVERAGE(J3:J22)</f>
        <v/>
      </c>
    </row>
    <row r="28">
      <c r="B28" s="16" t="inlineStr">
        <is>
          <t>Arm B (Baseline) Mean Composite Score</t>
        </is>
      </c>
      <c r="C28" s="17" t="n"/>
      <c r="D28" s="18" t="n"/>
      <c r="E28" s="19">
        <f>AVERAGE(K3:K22)</f>
        <v/>
      </c>
    </row>
    <row r="29">
      <c r="B29" s="16" t="inlineStr">
        <is>
          <t>Mean Delta Gain (DIINA vs. Baseline)</t>
        </is>
      </c>
      <c r="C29" s="17" t="n"/>
      <c r="D29" s="18" t="n"/>
      <c r="E29" s="20">
        <f>L23</f>
        <v/>
      </c>
    </row>
    <row r="30">
      <c r="B30" s="16" t="inlineStr">
        <is>
          <t>Cases DIINA Superior (Delta &gt; 0)</t>
        </is>
      </c>
      <c r="C30" s="17" t="n"/>
      <c r="D30" s="18" t="n"/>
      <c r="E30" s="21">
        <f>COUNTIF(L3:L22, "&gt;0")</f>
        <v/>
      </c>
    </row>
    <row r="31">
      <c r="B31" s="16" t="inlineStr">
        <is>
          <t>Cases Baseline Superior (Delta &lt; 0)</t>
        </is>
      </c>
      <c r="C31" s="17" t="n"/>
      <c r="D31" s="18" t="n"/>
      <c r="E31" s="21">
        <f>COUNTIF(L3:L22, "&lt;0")</f>
        <v/>
      </c>
    </row>
    <row r="32">
      <c r="B32" s="16" t="inlineStr">
        <is>
          <t>Cases Parity / Tie (Delta = 0)</t>
        </is>
      </c>
      <c r="C32" s="17" t="n"/>
      <c r="D32" s="18" t="n"/>
      <c r="E32" s="21">
        <f>COUNTIF(L3:L22, "=0")</f>
        <v/>
      </c>
    </row>
    <row r="33">
      <c r="B33" s="16" t="inlineStr">
        <is>
          <t>DIINA Win Rate (%)</t>
        </is>
      </c>
      <c r="C33" s="17" t="n"/>
      <c r="D33" s="18" t="n"/>
      <c r="E33" s="22">
        <f>COUNTIF(L3:L22, "&gt;0")/COUNTA(L3:L22)</f>
        <v/>
      </c>
    </row>
  </sheetData>
  <mergeCells count="10">
    <mergeCell ref="B33:D33"/>
    <mergeCell ref="B28:D28"/>
    <mergeCell ref="B26:E26"/>
    <mergeCell ref="A1:M1"/>
    <mergeCell ref="B31:D31"/>
    <mergeCell ref="B32:D32"/>
    <mergeCell ref="B27:D27"/>
    <mergeCell ref="A23:E23"/>
    <mergeCell ref="B30:D30"/>
    <mergeCell ref="B29:D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2026-10-17T18:18:37Z</dcterms:created>
  <dcterms:modified xmlns:dcterms="http://purl.org/dc/terms/" xmlns:xsi="http://www.w3.org/2001/XMLSchema-instance" xsi:type="dcterms:W3CDTF">2026-10-17T20:01:17Z</dcterms:modified>
</cp:coreProperties>
</file>